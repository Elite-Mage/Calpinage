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SSONE SA\Documents\Chantier\Avelis Beauchamp\"/>
    </mc:Choice>
  </mc:AlternateContent>
  <xr:revisionPtr revIDLastSave="0" documentId="13_ncr:1_{6E0DD9C8-3162-49E9-9C0D-20F8221D77A0}" xr6:coauthVersionLast="47" xr6:coauthVersionMax="47" xr10:uidLastSave="{00000000-0000-0000-0000-000000000000}"/>
  <bookViews>
    <workbookView xWindow="28680" yWindow="-120" windowWidth="29040" windowHeight="15720" xr2:uid="{0F8FF760-33E5-479E-BB8B-F4ACC285666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0" i="1" l="1"/>
  <c r="E106" i="1"/>
  <c r="E252" i="1"/>
  <c r="H87" i="1"/>
  <c r="H86" i="1"/>
  <c r="L100" i="1"/>
  <c r="J100" i="1"/>
  <c r="H100" i="1"/>
  <c r="G100" i="1"/>
  <c r="E100" i="1"/>
  <c r="D100" i="1"/>
  <c r="G86" i="1"/>
  <c r="E86" i="1"/>
  <c r="D86" i="1"/>
  <c r="E88" i="1"/>
  <c r="H88" i="1"/>
  <c r="G88" i="1"/>
  <c r="D108" i="1"/>
  <c r="L102" i="1"/>
  <c r="J102" i="1"/>
  <c r="H102" i="1"/>
  <c r="G102" i="1"/>
  <c r="E102" i="1"/>
  <c r="D102" i="1"/>
  <c r="D88" i="1"/>
  <c r="F211" i="1"/>
  <c r="D209" i="1"/>
  <c r="F252" i="1"/>
  <c r="G249" i="1"/>
  <c r="F229" i="1"/>
  <c r="E234" i="1" s="1"/>
  <c r="J234" i="1" s="1"/>
  <c r="F226" i="1"/>
  <c r="H234" i="1"/>
  <c r="I226" i="1"/>
  <c r="F223" i="1"/>
  <c r="G229" i="1"/>
  <c r="G223" i="1"/>
  <c r="H197" i="1"/>
  <c r="G197" i="1"/>
  <c r="F197" i="1"/>
  <c r="E197" i="1"/>
  <c r="D197" i="1"/>
  <c r="D204" i="1"/>
  <c r="E175" i="1"/>
  <c r="D175" i="1"/>
  <c r="D183" i="1"/>
  <c r="D190" i="1"/>
  <c r="L189" i="1" s="1"/>
  <c r="P189" i="1" s="1"/>
  <c r="F167" i="1"/>
  <c r="E167" i="1"/>
  <c r="D167" i="1"/>
  <c r="E159" i="1"/>
  <c r="D159" i="1"/>
  <c r="L101" i="1"/>
  <c r="J101" i="1"/>
  <c r="G87" i="1"/>
  <c r="E87" i="1"/>
  <c r="D87" i="1"/>
  <c r="H101" i="1"/>
  <c r="G101" i="1"/>
  <c r="E101" i="1"/>
  <c r="D101" i="1"/>
  <c r="I229" i="1"/>
  <c r="I234" i="1" s="1"/>
  <c r="M216" i="1"/>
  <c r="M217" i="1"/>
  <c r="M215" i="1"/>
  <c r="N157" i="1"/>
  <c r="N158" i="1"/>
  <c r="N156" i="1"/>
  <c r="N188" i="1"/>
  <c r="N189" i="1"/>
  <c r="N187" i="1"/>
  <c r="N182" i="1"/>
  <c r="N181" i="1"/>
  <c r="N180" i="1"/>
  <c r="O188" i="1"/>
  <c r="O216" i="1" s="1"/>
  <c r="O189" i="1"/>
  <c r="O217" i="1" s="1"/>
  <c r="O187" i="1"/>
  <c r="O215" i="1" s="1"/>
  <c r="F165" i="1"/>
  <c r="E165" i="1"/>
  <c r="D165" i="1"/>
  <c r="F166" i="1"/>
  <c r="E166" i="1"/>
  <c r="D166" i="1"/>
  <c r="D182" i="1"/>
  <c r="E210" i="1"/>
  <c r="D203" i="1"/>
  <c r="L181" i="1" s="1"/>
  <c r="P181" i="1" s="1"/>
  <c r="D189" i="1"/>
  <c r="L188" i="1" s="1"/>
  <c r="E174" i="1"/>
  <c r="D174" i="1"/>
  <c r="H196" i="1"/>
  <c r="G196" i="1"/>
  <c r="F196" i="1"/>
  <c r="E196" i="1"/>
  <c r="D196" i="1"/>
  <c r="D158" i="1"/>
  <c r="L157" i="1" s="1"/>
  <c r="E158" i="1"/>
  <c r="D202" i="1"/>
  <c r="H195" i="1"/>
  <c r="G195" i="1"/>
  <c r="F195" i="1"/>
  <c r="E195" i="1"/>
  <c r="D195" i="1"/>
  <c r="D188" i="1"/>
  <c r="L187" i="1" s="1"/>
  <c r="D181" i="1"/>
  <c r="L180" i="1" s="1"/>
  <c r="P180" i="1" s="1"/>
  <c r="E173" i="1"/>
  <c r="D173" i="1"/>
  <c r="D157" i="1"/>
  <c r="E157" i="1"/>
  <c r="D176" i="1"/>
  <c r="D168" i="1"/>
  <c r="D160" i="1"/>
  <c r="G135" i="1"/>
  <c r="I135" i="1" s="1"/>
  <c r="G134" i="1"/>
  <c r="I134" i="1" s="1"/>
  <c r="G139" i="1"/>
  <c r="I139" i="1" s="1"/>
  <c r="G138" i="1"/>
  <c r="I138" i="1" s="1"/>
  <c r="D118" i="1"/>
  <c r="D117" i="1"/>
  <c r="I147" i="1"/>
  <c r="I143" i="1"/>
  <c r="G129" i="1"/>
  <c r="I129" i="1" s="1"/>
  <c r="G131" i="1"/>
  <c r="I131" i="1" s="1"/>
  <c r="G127" i="1"/>
  <c r="I127" i="1" s="1"/>
  <c r="G125" i="1"/>
  <c r="I125" i="1" s="1"/>
  <c r="L182" i="1" l="1"/>
  <c r="L158" i="1"/>
  <c r="D217" i="1" s="1"/>
  <c r="D107" i="1"/>
  <c r="D216" i="1"/>
  <c r="P188" i="1"/>
  <c r="L156" i="1"/>
  <c r="N215" i="1"/>
  <c r="N216" i="1"/>
  <c r="P158" i="1"/>
  <c r="N217" i="1"/>
  <c r="P187" i="1"/>
  <c r="D215" i="1"/>
  <c r="G141" i="1"/>
  <c r="H85" i="1"/>
  <c r="L99" i="1"/>
  <c r="D106" i="1"/>
  <c r="G85" i="1"/>
  <c r="E99" i="1"/>
  <c r="G99" i="1"/>
  <c r="J99" i="1"/>
  <c r="H99" i="1"/>
  <c r="D99" i="1"/>
  <c r="E85" i="1"/>
  <c r="D85" i="1"/>
  <c r="L217" i="1" l="1"/>
  <c r="P182" i="1"/>
  <c r="P217" i="1" s="1"/>
  <c r="E247" i="1"/>
  <c r="L215" i="1"/>
  <c r="E245" i="1" s="1"/>
  <c r="G245" i="1" s="1"/>
  <c r="P156" i="1"/>
  <c r="P215" i="1" s="1"/>
  <c r="L216" i="1"/>
  <c r="P157" i="1"/>
  <c r="P216" i="1" s="1"/>
  <c r="E246" i="1"/>
  <c r="I141" i="1"/>
  <c r="G145" i="1"/>
  <c r="I145" i="1" s="1"/>
  <c r="D105" i="1"/>
  <c r="H81" i="1"/>
  <c r="L95" i="1"/>
  <c r="G96" i="1"/>
  <c r="D112" i="1" s="1"/>
  <c r="D95" i="1"/>
  <c r="D81" i="1"/>
  <c r="P57" i="1"/>
  <c r="P55" i="1"/>
  <c r="G247" i="1" l="1"/>
  <c r="I246" i="1"/>
  <c r="E239" i="1"/>
  <c r="E241" i="1"/>
  <c r="G246" i="1"/>
  <c r="I149" i="1"/>
  <c r="D111" i="1"/>
  <c r="G241" i="1" l="1"/>
  <c r="G240" i="1"/>
  <c r="G239" i="1"/>
  <c r="I240" i="1" l="1"/>
  <c r="K243" i="1" s="1"/>
  <c r="H252" i="1"/>
  <c r="G252" i="1"/>
</calcChain>
</file>

<file path=xl/sharedStrings.xml><?xml version="1.0" encoding="utf-8"?>
<sst xmlns="http://schemas.openxmlformats.org/spreadsheetml/2006/main" count="279" uniqueCount="139">
  <si>
    <t>Largeur</t>
  </si>
  <si>
    <t>X</t>
  </si>
  <si>
    <t>Quantité</t>
  </si>
  <si>
    <t>Hauteur</t>
  </si>
  <si>
    <t>m²</t>
  </si>
  <si>
    <t>Type 1</t>
  </si>
  <si>
    <t>Panneaux plein Longueur 3650*1860 :</t>
  </si>
  <si>
    <t>Panneaux dessous et dessus de fenêtre :</t>
  </si>
  <si>
    <t>153,7m²</t>
  </si>
  <si>
    <t>89,6m²</t>
  </si>
  <si>
    <t>16,7m²</t>
  </si>
  <si>
    <t>1 3</t>
  </si>
  <si>
    <t>1 4</t>
  </si>
  <si>
    <t>3 5</t>
  </si>
  <si>
    <t>6 7</t>
  </si>
  <si>
    <t>4 8</t>
  </si>
  <si>
    <t>9 10</t>
  </si>
  <si>
    <t>11 12</t>
  </si>
  <si>
    <t>13 14</t>
  </si>
  <si>
    <t>15 16</t>
  </si>
  <si>
    <t>18 19 20 21 22 23 24 25 26 27 28 29 30 31 32 33 34 35</t>
  </si>
  <si>
    <t>23 24 25 26</t>
  </si>
  <si>
    <t>13 14 15 16 17 18 19 20 21 22</t>
  </si>
  <si>
    <t>5 11</t>
  </si>
  <si>
    <t xml:space="preserve">Commande : 35 Panneaux 3650*1860 = </t>
  </si>
  <si>
    <t xml:space="preserve">Perte : </t>
  </si>
  <si>
    <t>Perte :</t>
  </si>
  <si>
    <t>Type 2</t>
  </si>
  <si>
    <t>42,42m²</t>
  </si>
  <si>
    <t xml:space="preserve">Commande : 35 Panneaux 2550*1860 = </t>
  </si>
  <si>
    <t>166m²</t>
  </si>
  <si>
    <t>Surface Nécessaire :</t>
  </si>
  <si>
    <t>Surface Total Ncessaire :</t>
  </si>
  <si>
    <t>Surface Commandé :</t>
  </si>
  <si>
    <t>Panneaux plein Longueur 2550*1860 :</t>
  </si>
  <si>
    <t>Accordement de Panneaux :</t>
  </si>
  <si>
    <t xml:space="preserve">Commande : 5 panneaux 2550*1860 = </t>
  </si>
  <si>
    <t>23,715m²</t>
  </si>
  <si>
    <t xml:space="preserve">Commande : 10 panneaux 4270*2130 = </t>
  </si>
  <si>
    <t>90,95m²</t>
  </si>
  <si>
    <t xml:space="preserve">Commande : 7 Panneaux 3650*1860  = </t>
  </si>
  <si>
    <t>47,53m²</t>
  </si>
  <si>
    <t>Ossature :</t>
  </si>
  <si>
    <t>Longueur (mm) :</t>
  </si>
  <si>
    <t>Quantité :</t>
  </si>
  <si>
    <t>ZED 30*100*40mm :</t>
  </si>
  <si>
    <t>OMEGA 30*100*100*100mm :</t>
  </si>
  <si>
    <t>Panneaux Rangé haute :</t>
  </si>
  <si>
    <t>Totalité Rivet :</t>
  </si>
  <si>
    <t>1*3350</t>
  </si>
  <si>
    <t>2*2284</t>
  </si>
  <si>
    <t>1*1580</t>
  </si>
  <si>
    <t>Commande Dimension :</t>
  </si>
  <si>
    <t>Total Fixation Longeron :</t>
  </si>
  <si>
    <t>Fixation Longeron :</t>
  </si>
  <si>
    <t>Fixation Fenêtre :</t>
  </si>
  <si>
    <t>1*1007</t>
  </si>
  <si>
    <t>Total Fixation Fenêtre :</t>
  </si>
  <si>
    <t>Prix Yèbles :</t>
  </si>
  <si>
    <t>Prix Total Yèbles :</t>
  </si>
  <si>
    <t>Prix ETANCO :</t>
  </si>
  <si>
    <t>Prix Total ETANCO :</t>
  </si>
  <si>
    <t>Bandeau Haut :</t>
  </si>
  <si>
    <t>Trespa :</t>
  </si>
  <si>
    <t>Panneau :</t>
  </si>
  <si>
    <t>Lots</t>
  </si>
  <si>
    <t>DESIGNATION</t>
  </si>
  <si>
    <t>PU</t>
  </si>
  <si>
    <t>ml</t>
  </si>
  <si>
    <t>Q/m²</t>
  </si>
  <si>
    <t>P.m²</t>
  </si>
  <si>
    <t>Etude Découpe :</t>
  </si>
  <si>
    <t>Perte</t>
  </si>
  <si>
    <t>Fixation Ossature :</t>
  </si>
  <si>
    <t>Fixation Panneau :</t>
  </si>
  <si>
    <t>EPDM :</t>
  </si>
  <si>
    <t>Total Matériaux :</t>
  </si>
  <si>
    <t>MO :</t>
  </si>
  <si>
    <t>TOTAL :</t>
  </si>
  <si>
    <t>Débour Réel :</t>
  </si>
  <si>
    <t>P.TOTAL</t>
  </si>
  <si>
    <t>SURFACE</t>
  </si>
  <si>
    <t>Vendu :</t>
  </si>
  <si>
    <t>Gain :</t>
  </si>
  <si>
    <t>ml ZED :</t>
  </si>
  <si>
    <t>ml OMEGA :</t>
  </si>
  <si>
    <t>L.40</t>
  </si>
  <si>
    <t>L.100</t>
  </si>
  <si>
    <t>Longeron</t>
  </si>
  <si>
    <t>Fenêtre</t>
  </si>
  <si>
    <t>Poste Bardage</t>
  </si>
  <si>
    <t>Tableau :</t>
  </si>
  <si>
    <t>Linteau :</t>
  </si>
  <si>
    <t>ml Total</t>
  </si>
  <si>
    <t>Appuis :</t>
  </si>
  <si>
    <t>Couvertine :</t>
  </si>
  <si>
    <t>Plinthe :</t>
  </si>
  <si>
    <t>Epingle :</t>
  </si>
  <si>
    <t>Yèbles :</t>
  </si>
  <si>
    <t>P.TOTAL :</t>
  </si>
  <si>
    <t>Eclisse :</t>
  </si>
  <si>
    <t>Patte à Réhausse :</t>
  </si>
  <si>
    <t>Tolerie :</t>
  </si>
  <si>
    <t>Batiformes :</t>
  </si>
  <si>
    <t>Poste Pliage :</t>
  </si>
  <si>
    <t>Encadrement :</t>
  </si>
  <si>
    <t>Pliage :</t>
  </si>
  <si>
    <t>Vis :</t>
  </si>
  <si>
    <t>Bardage :</t>
  </si>
  <si>
    <t>Benéfice Chantier :</t>
  </si>
  <si>
    <t>Etanco :</t>
  </si>
  <si>
    <t>Coût :</t>
  </si>
  <si>
    <t>Meilleur RDMT :</t>
  </si>
  <si>
    <t>Boite à Eau et descente EP :</t>
  </si>
  <si>
    <t>Coef</t>
  </si>
  <si>
    <t>Descentes :</t>
  </si>
  <si>
    <t>u</t>
  </si>
  <si>
    <t>Total :</t>
  </si>
  <si>
    <t>Prix Tolerie :</t>
  </si>
  <si>
    <t>Prix Total Tolerie :</t>
  </si>
  <si>
    <t>Prix Batiformes :</t>
  </si>
  <si>
    <t>Tolerie</t>
  </si>
  <si>
    <t>+20% percage</t>
  </si>
  <si>
    <t>P.V</t>
  </si>
  <si>
    <t>P.V.T</t>
  </si>
  <si>
    <t>P.A</t>
  </si>
  <si>
    <t>P.A.T</t>
  </si>
  <si>
    <t>M.O</t>
  </si>
  <si>
    <t>Alu Dani</t>
  </si>
  <si>
    <t>Collier :</t>
  </si>
  <si>
    <t>B.à.eaux :</t>
  </si>
  <si>
    <t>Frais :</t>
  </si>
  <si>
    <t>livraison emballage</t>
  </si>
  <si>
    <t xml:space="preserve">Gain </t>
  </si>
  <si>
    <t>EP :</t>
  </si>
  <si>
    <t>Alu dani</t>
  </si>
  <si>
    <t>Alu Dani :</t>
  </si>
  <si>
    <t xml:space="preserve">qualité et rapidité </t>
  </si>
  <si>
    <t xml:space="preserve">nouvelle pour batiformes millieu semaine prochaine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</si>
</sst>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57635"/>
        <bgColor theme="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5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6" xfId="0" applyBorder="1" applyAlignment="1">
      <alignment horizontal="center"/>
    </xf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6" fontId="0" fillId="0" borderId="0" xfId="0" applyNumberFormat="1" applyAlignment="1">
      <alignment horizontal="left"/>
    </xf>
    <xf numFmtId="9" fontId="0" fillId="0" borderId="0" xfId="0" applyNumberFormat="1"/>
    <xf numFmtId="9" fontId="1" fillId="0" borderId="0" xfId="0" applyNumberFormat="1" applyFont="1"/>
    <xf numFmtId="0" fontId="0" fillId="3" borderId="0" xfId="0" applyFill="1"/>
    <xf numFmtId="10" fontId="2" fillId="0" borderId="0" xfId="0" applyNumberFormat="1" applyFont="1"/>
    <xf numFmtId="0" fontId="0" fillId="0" borderId="9" xfId="0" applyBorder="1"/>
    <xf numFmtId="9" fontId="1" fillId="0" borderId="0" xfId="0" applyNumberFormat="1" applyFont="1" applyAlignment="1">
      <alignment horizontal="left"/>
    </xf>
    <xf numFmtId="10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1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1" xfId="0" applyFont="1" applyBorder="1"/>
    <xf numFmtId="164" fontId="0" fillId="0" borderId="0" xfId="0" applyNumberFormat="1"/>
    <xf numFmtId="164" fontId="0" fillId="0" borderId="1" xfId="0" applyNumberFormat="1" applyBorder="1"/>
    <xf numFmtId="164" fontId="1" fillId="0" borderId="1" xfId="0" applyNumberFormat="1" applyFont="1" applyBorder="1"/>
    <xf numFmtId="0" fontId="6" fillId="0" borderId="0" xfId="0" applyFont="1"/>
    <xf numFmtId="0" fontId="7" fillId="5" borderId="10" xfId="0" applyFont="1" applyFill="1" applyBorder="1"/>
    <xf numFmtId="0" fontId="7" fillId="5" borderId="0" xfId="0" applyFont="1" applyFill="1"/>
    <xf numFmtId="0" fontId="0" fillId="0" borderId="5" xfId="0" applyBorder="1"/>
    <xf numFmtId="0" fontId="0" fillId="0" borderId="6" xfId="0" applyBorder="1"/>
    <xf numFmtId="16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6" fillId="0" borderId="0" xfId="0" applyFont="1" applyAlignment="1">
      <alignment horizontal="right"/>
    </xf>
    <xf numFmtId="0" fontId="5" fillId="0" borderId="1" xfId="0" applyFont="1" applyBorder="1" applyAlignment="1">
      <alignment horizontal="center"/>
    </xf>
    <xf numFmtId="0" fontId="8" fillId="4" borderId="0" xfId="0" applyFont="1" applyFill="1"/>
    <xf numFmtId="0" fontId="8" fillId="0" borderId="0" xfId="0" applyFont="1"/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0" fillId="0" borderId="0" xfId="0" applyAlignment="1"/>
    <xf numFmtId="164" fontId="5" fillId="0" borderId="1" xfId="0" applyNumberFormat="1" applyFont="1" applyBorder="1"/>
    <xf numFmtId="164" fontId="5" fillId="0" borderId="5" xfId="0" applyNumberFormat="1" applyFont="1" applyBorder="1" applyAlignment="1">
      <alignment horizontal="center"/>
    </xf>
    <xf numFmtId="164" fontId="5" fillId="0" borderId="11" xfId="0" applyNumberFormat="1" applyFont="1" applyBorder="1" applyAlignment="1">
      <alignment horizontal="center"/>
    </xf>
    <xf numFmtId="164" fontId="5" fillId="0" borderId="6" xfId="0" applyNumberFormat="1" applyFont="1" applyBorder="1" applyAlignment="1">
      <alignment horizontal="center"/>
    </xf>
    <xf numFmtId="164" fontId="5" fillId="0" borderId="0" xfId="0" applyNumberFormat="1" applyFont="1" applyBorder="1"/>
    <xf numFmtId="0" fontId="0" fillId="0" borderId="0" xfId="0" applyBorder="1"/>
    <xf numFmtId="164" fontId="5" fillId="0" borderId="2" xfId="0" applyNumberFormat="1" applyFont="1" applyBorder="1"/>
    <xf numFmtId="164" fontId="5" fillId="0" borderId="1" xfId="0" applyNumberFormat="1" applyFont="1" applyBorder="1" applyAlignment="1">
      <alignment horizontal="right"/>
    </xf>
    <xf numFmtId="0" fontId="5" fillId="0" borderId="1" xfId="0" applyFont="1" applyBorder="1"/>
    <xf numFmtId="0" fontId="9" fillId="0" borderId="0" xfId="0" applyFont="1"/>
    <xf numFmtId="164" fontId="0" fillId="0" borderId="0" xfId="0" applyNumberFormat="1" applyBorder="1"/>
    <xf numFmtId="0" fontId="0" fillId="0" borderId="0" xfId="0" applyFont="1"/>
    <xf numFmtId="164" fontId="0" fillId="0" borderId="1" xfId="0" applyNumberFormat="1" applyFont="1" applyBorder="1"/>
    <xf numFmtId="0" fontId="0" fillId="0" borderId="0" xfId="0" quotePrefix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5" fillId="0" borderId="5" xfId="0" applyNumberFormat="1" applyFont="1" applyBorder="1" applyAlignment="1"/>
    <xf numFmtId="164" fontId="5" fillId="0" borderId="6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576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78441</xdr:colOff>
      <xdr:row>244</xdr:row>
      <xdr:rowOff>134470</xdr:rowOff>
    </xdr:from>
    <xdr:to>
      <xdr:col>7</xdr:col>
      <xdr:colOff>571500</xdr:colOff>
      <xdr:row>245</xdr:row>
      <xdr:rowOff>78442</xdr:rowOff>
    </xdr:to>
    <xdr:cxnSp macro="">
      <xdr:nvCxnSpPr>
        <xdr:cNvPr id="12" name="Connecteur droit avec flèche 11">
          <a:extLst>
            <a:ext uri="{FF2B5EF4-FFF2-40B4-BE49-F238E27FC236}">
              <a16:creationId xmlns:a16="http://schemas.microsoft.com/office/drawing/2014/main" id="{C609A65D-795B-DDC9-1E96-695E70138AD7}"/>
            </a:ext>
          </a:extLst>
        </xdr:cNvPr>
        <xdr:cNvCxnSpPr/>
      </xdr:nvCxnSpPr>
      <xdr:spPr>
        <a:xfrm>
          <a:off x="5782235" y="46851794"/>
          <a:ext cx="493059" cy="14567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66374</xdr:colOff>
      <xdr:row>245</xdr:row>
      <xdr:rowOff>134471</xdr:rowOff>
    </xdr:from>
    <xdr:to>
      <xdr:col>7</xdr:col>
      <xdr:colOff>571500</xdr:colOff>
      <xdr:row>246</xdr:row>
      <xdr:rowOff>132316</xdr:rowOff>
    </xdr:to>
    <xdr:cxnSp macro="">
      <xdr:nvCxnSpPr>
        <xdr:cNvPr id="14" name="Connecteur droit avec flèche 13">
          <a:extLst>
            <a:ext uri="{FF2B5EF4-FFF2-40B4-BE49-F238E27FC236}">
              <a16:creationId xmlns:a16="http://schemas.microsoft.com/office/drawing/2014/main" id="{61F8BCE7-A997-1701-4773-BC5C43B37320}"/>
            </a:ext>
          </a:extLst>
        </xdr:cNvPr>
        <xdr:cNvCxnSpPr/>
      </xdr:nvCxnSpPr>
      <xdr:spPr>
        <a:xfrm flipV="1">
          <a:off x="5770168" y="47053500"/>
          <a:ext cx="505126" cy="199551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89647</xdr:colOff>
      <xdr:row>238</xdr:row>
      <xdr:rowOff>89647</xdr:rowOff>
    </xdr:from>
    <xdr:to>
      <xdr:col>8</xdr:col>
      <xdr:colOff>0</xdr:colOff>
      <xdr:row>239</xdr:row>
      <xdr:rowOff>100853</xdr:rowOff>
    </xdr:to>
    <xdr:cxnSp macro="">
      <xdr:nvCxnSpPr>
        <xdr:cNvPr id="21" name="Connecteur droit avec flèche 20">
          <a:extLst>
            <a:ext uri="{FF2B5EF4-FFF2-40B4-BE49-F238E27FC236}">
              <a16:creationId xmlns:a16="http://schemas.microsoft.com/office/drawing/2014/main" id="{5F7A40FB-9661-4424-9F17-E48E48BF111F}"/>
            </a:ext>
          </a:extLst>
        </xdr:cNvPr>
        <xdr:cNvCxnSpPr/>
      </xdr:nvCxnSpPr>
      <xdr:spPr>
        <a:xfrm>
          <a:off x="3171265" y="20921382"/>
          <a:ext cx="806823" cy="212912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100853</xdr:colOff>
      <xdr:row>239</xdr:row>
      <xdr:rowOff>134471</xdr:rowOff>
    </xdr:from>
    <xdr:to>
      <xdr:col>8</xdr:col>
      <xdr:colOff>0</xdr:colOff>
      <xdr:row>240</xdr:row>
      <xdr:rowOff>134471</xdr:rowOff>
    </xdr:to>
    <xdr:cxnSp macro="">
      <xdr:nvCxnSpPr>
        <xdr:cNvPr id="24" name="Connecteur droit avec flèche 23">
          <a:extLst>
            <a:ext uri="{FF2B5EF4-FFF2-40B4-BE49-F238E27FC236}">
              <a16:creationId xmlns:a16="http://schemas.microsoft.com/office/drawing/2014/main" id="{5AF1F6DA-C68A-4239-98A7-4BC5BA93A428}"/>
            </a:ext>
          </a:extLst>
        </xdr:cNvPr>
        <xdr:cNvCxnSpPr/>
      </xdr:nvCxnSpPr>
      <xdr:spPr>
        <a:xfrm flipV="1">
          <a:off x="5804647" y="49048147"/>
          <a:ext cx="526677" cy="201706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78441</xdr:colOff>
      <xdr:row>239</xdr:row>
      <xdr:rowOff>145677</xdr:rowOff>
    </xdr:from>
    <xdr:to>
      <xdr:col>9</xdr:col>
      <xdr:colOff>627530</xdr:colOff>
      <xdr:row>242</xdr:row>
      <xdr:rowOff>11206</xdr:rowOff>
    </xdr:to>
    <xdr:cxnSp macro="">
      <xdr:nvCxnSpPr>
        <xdr:cNvPr id="26" name="Connecteur droit avec flèche 25">
          <a:extLst>
            <a:ext uri="{FF2B5EF4-FFF2-40B4-BE49-F238E27FC236}">
              <a16:creationId xmlns:a16="http://schemas.microsoft.com/office/drawing/2014/main" id="{3B8E3F70-4FCB-AC0E-605F-5684B2616577}"/>
            </a:ext>
          </a:extLst>
        </xdr:cNvPr>
        <xdr:cNvCxnSpPr/>
      </xdr:nvCxnSpPr>
      <xdr:spPr>
        <a:xfrm>
          <a:off x="7306235" y="45854471"/>
          <a:ext cx="549089" cy="470647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89647</xdr:colOff>
      <xdr:row>243</xdr:row>
      <xdr:rowOff>67235</xdr:rowOff>
    </xdr:from>
    <xdr:to>
      <xdr:col>9</xdr:col>
      <xdr:colOff>638735</xdr:colOff>
      <xdr:row>245</xdr:row>
      <xdr:rowOff>89647</xdr:rowOff>
    </xdr:to>
    <xdr:cxnSp macro="">
      <xdr:nvCxnSpPr>
        <xdr:cNvPr id="29" name="Connecteur droit avec flèche 28">
          <a:extLst>
            <a:ext uri="{FF2B5EF4-FFF2-40B4-BE49-F238E27FC236}">
              <a16:creationId xmlns:a16="http://schemas.microsoft.com/office/drawing/2014/main" id="{BA37D870-007D-36A3-7CB0-E8DF5F755F6F}"/>
            </a:ext>
          </a:extLst>
        </xdr:cNvPr>
        <xdr:cNvCxnSpPr/>
      </xdr:nvCxnSpPr>
      <xdr:spPr>
        <a:xfrm flipV="1">
          <a:off x="7317441" y="46582853"/>
          <a:ext cx="549088" cy="425823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66472-7E1F-434B-BFE2-17BCD1CE6F24}">
  <dimension ref="A2:W259"/>
  <sheetViews>
    <sheetView tabSelected="1" topLeftCell="A170" zoomScale="85" zoomScaleNormal="85" workbookViewId="0">
      <selection activeCell="E242" sqref="E242"/>
    </sheetView>
  </sheetViews>
  <sheetFormatPr baseColWidth="10" defaultRowHeight="15" x14ac:dyDescent="0.25"/>
  <cols>
    <col min="1" max="1" width="9.28515625" bestFit="1" customWidth="1"/>
    <col min="2" max="2" width="15.140625" customWidth="1"/>
    <col min="3" max="3" width="9.5703125" bestFit="1" customWidth="1"/>
    <col min="4" max="4" width="12.28515625" bestFit="1" customWidth="1"/>
    <col min="5" max="5" width="13.42578125" bestFit="1" customWidth="1"/>
    <col min="6" max="6" width="13.7109375" customWidth="1"/>
    <col min="7" max="7" width="12.140625" customWidth="1"/>
    <col min="8" max="8" width="9.42578125" bestFit="1" customWidth="1"/>
    <col min="9" max="9" width="13.42578125" bestFit="1" customWidth="1"/>
    <col min="10" max="10" width="9.7109375" bestFit="1" customWidth="1"/>
    <col min="11" max="11" width="10" customWidth="1"/>
    <col min="12" max="12" width="12.42578125" customWidth="1"/>
    <col min="13" max="13" width="7.5703125" bestFit="1" customWidth="1"/>
    <col min="14" max="14" width="11.85546875" customWidth="1"/>
    <col min="15" max="16" width="12.28515625" bestFit="1" customWidth="1"/>
    <col min="17" max="17" width="6.7109375" customWidth="1"/>
    <col min="18" max="18" width="8.28515625" customWidth="1"/>
    <col min="19" max="19" width="4.85546875" customWidth="1"/>
    <col min="20" max="20" width="8.140625" bestFit="1" customWidth="1"/>
    <col min="21" max="21" width="8.28515625" customWidth="1"/>
    <col min="22" max="22" width="8.85546875" bestFit="1" customWidth="1"/>
    <col min="25" max="25" width="13.5703125" customWidth="1"/>
  </cols>
  <sheetData>
    <row r="2" spans="1:23" ht="28.5" x14ac:dyDescent="0.45">
      <c r="A2" s="47" t="s">
        <v>90</v>
      </c>
    </row>
    <row r="4" spans="1:23" ht="21" x14ac:dyDescent="0.35">
      <c r="A4" s="12" t="s">
        <v>5</v>
      </c>
      <c r="B4" s="13"/>
    </row>
    <row r="6" spans="1:23" x14ac:dyDescent="0.25">
      <c r="A6" s="11" t="s">
        <v>6</v>
      </c>
      <c r="K6" s="11" t="s">
        <v>7</v>
      </c>
    </row>
    <row r="8" spans="1:23" x14ac:dyDescent="0.25">
      <c r="B8" s="3" t="s">
        <v>3</v>
      </c>
      <c r="C8" s="3" t="s">
        <v>0</v>
      </c>
      <c r="D8" s="2" t="s">
        <v>2</v>
      </c>
      <c r="E8" s="21" t="s">
        <v>35</v>
      </c>
      <c r="M8" s="3" t="s">
        <v>0</v>
      </c>
      <c r="N8" s="2" t="s">
        <v>2</v>
      </c>
      <c r="O8" s="2" t="s">
        <v>2</v>
      </c>
      <c r="P8" s="2" t="s">
        <v>2</v>
      </c>
      <c r="R8" t="s">
        <v>40</v>
      </c>
      <c r="W8" s="11" t="s">
        <v>41</v>
      </c>
    </row>
    <row r="9" spans="1:23" x14ac:dyDescent="0.25">
      <c r="B9" s="5">
        <v>3650</v>
      </c>
      <c r="C9" s="14">
        <v>1083</v>
      </c>
      <c r="D9" s="5">
        <v>2</v>
      </c>
      <c r="E9" s="9" t="s">
        <v>12</v>
      </c>
      <c r="L9" s="2" t="s">
        <v>3</v>
      </c>
      <c r="M9" s="4" t="s">
        <v>1</v>
      </c>
      <c r="N9" s="4">
        <v>1008</v>
      </c>
      <c r="O9" s="4">
        <v>822</v>
      </c>
      <c r="P9" s="5">
        <v>492</v>
      </c>
    </row>
    <row r="10" spans="1:23" x14ac:dyDescent="0.25">
      <c r="B10" s="6">
        <v>3650</v>
      </c>
      <c r="C10" s="1">
        <v>1078</v>
      </c>
      <c r="D10" s="6">
        <v>1</v>
      </c>
      <c r="E10" s="9">
        <v>2</v>
      </c>
      <c r="M10" s="8">
        <v>1134</v>
      </c>
      <c r="N10" s="4">
        <v>1</v>
      </c>
      <c r="O10" s="10">
        <v>0</v>
      </c>
      <c r="P10" s="4">
        <v>1</v>
      </c>
      <c r="R10" t="s">
        <v>26</v>
      </c>
      <c r="W10" s="22">
        <v>0.12</v>
      </c>
    </row>
    <row r="11" spans="1:23" x14ac:dyDescent="0.25">
      <c r="B11" s="6">
        <v>3650</v>
      </c>
      <c r="C11" s="1">
        <v>1037</v>
      </c>
      <c r="D11" s="6">
        <v>2</v>
      </c>
      <c r="E11" s="9" t="s">
        <v>13</v>
      </c>
      <c r="M11" s="4">
        <v>984</v>
      </c>
      <c r="N11" s="4">
        <v>13</v>
      </c>
      <c r="O11" s="4">
        <v>13</v>
      </c>
      <c r="P11" s="4">
        <v>0</v>
      </c>
    </row>
    <row r="12" spans="1:23" x14ac:dyDescent="0.25">
      <c r="B12" s="6">
        <v>3650</v>
      </c>
      <c r="C12" s="1">
        <v>1028.5</v>
      </c>
      <c r="D12" s="6">
        <v>2</v>
      </c>
      <c r="E12" s="9" t="s">
        <v>14</v>
      </c>
      <c r="M12" s="4">
        <v>788</v>
      </c>
      <c r="N12" s="7">
        <v>12</v>
      </c>
      <c r="O12" s="7">
        <v>12</v>
      </c>
      <c r="P12" s="7">
        <v>0</v>
      </c>
    </row>
    <row r="13" spans="1:23" x14ac:dyDescent="0.25">
      <c r="B13" s="6">
        <v>3650</v>
      </c>
      <c r="C13" s="1">
        <v>983.5</v>
      </c>
      <c r="D13" s="6">
        <v>2</v>
      </c>
      <c r="E13" s="9" t="s">
        <v>16</v>
      </c>
    </row>
    <row r="14" spans="1:23" x14ac:dyDescent="0.25">
      <c r="B14" s="6">
        <v>3650</v>
      </c>
      <c r="C14" s="1">
        <v>981</v>
      </c>
      <c r="D14" s="6">
        <v>2</v>
      </c>
      <c r="E14" s="9" t="s">
        <v>17</v>
      </c>
      <c r="L14" t="s">
        <v>31</v>
      </c>
      <c r="O14" s="11" t="s">
        <v>28</v>
      </c>
    </row>
    <row r="15" spans="1:23" x14ac:dyDescent="0.25">
      <c r="B15" s="6">
        <v>3650</v>
      </c>
      <c r="C15" s="1">
        <v>933.5</v>
      </c>
      <c r="D15" s="6">
        <v>2</v>
      </c>
      <c r="E15" s="9" t="s">
        <v>18</v>
      </c>
    </row>
    <row r="16" spans="1:23" x14ac:dyDescent="0.25">
      <c r="B16" s="6">
        <v>3650</v>
      </c>
      <c r="C16" s="1">
        <v>877</v>
      </c>
      <c r="D16" s="6">
        <v>2</v>
      </c>
      <c r="E16" s="9" t="s">
        <v>19</v>
      </c>
    </row>
    <row r="17" spans="2:21" x14ac:dyDescent="0.25">
      <c r="B17" s="6">
        <v>3650</v>
      </c>
      <c r="C17" s="1">
        <v>876</v>
      </c>
      <c r="D17" s="6">
        <v>1</v>
      </c>
      <c r="E17" s="9">
        <v>17</v>
      </c>
      <c r="K17" s="11" t="s">
        <v>62</v>
      </c>
    </row>
    <row r="18" spans="2:21" x14ac:dyDescent="0.25">
      <c r="B18" s="6">
        <v>3650</v>
      </c>
      <c r="C18" s="1">
        <v>867</v>
      </c>
      <c r="D18" s="6">
        <v>27</v>
      </c>
      <c r="E18" s="9" t="s">
        <v>20</v>
      </c>
    </row>
    <row r="19" spans="2:21" x14ac:dyDescent="0.25">
      <c r="B19" s="6">
        <v>3650</v>
      </c>
      <c r="C19" s="1">
        <v>833</v>
      </c>
      <c r="D19" s="6">
        <v>4</v>
      </c>
      <c r="E19" s="9" t="s">
        <v>21</v>
      </c>
      <c r="L19" s="2" t="s">
        <v>3</v>
      </c>
      <c r="M19" s="3" t="s">
        <v>0</v>
      </c>
      <c r="N19" s="2" t="s">
        <v>2</v>
      </c>
      <c r="P19" t="s">
        <v>38</v>
      </c>
      <c r="U19" s="11" t="s">
        <v>39</v>
      </c>
    </row>
    <row r="20" spans="2:21" x14ac:dyDescent="0.25">
      <c r="B20" s="6">
        <v>3650</v>
      </c>
      <c r="C20" s="1">
        <v>822.3</v>
      </c>
      <c r="D20" s="6">
        <v>10</v>
      </c>
      <c r="E20" s="9" t="s">
        <v>22</v>
      </c>
      <c r="L20" s="2">
        <v>1064</v>
      </c>
      <c r="M20" s="4">
        <v>4268</v>
      </c>
      <c r="N20" s="6">
        <v>10</v>
      </c>
    </row>
    <row r="21" spans="2:21" x14ac:dyDescent="0.25">
      <c r="B21" s="6">
        <v>3650</v>
      </c>
      <c r="C21" s="1">
        <v>821</v>
      </c>
      <c r="D21" s="6">
        <v>2</v>
      </c>
      <c r="E21" s="9" t="s">
        <v>14</v>
      </c>
      <c r="L21" s="2">
        <v>1064</v>
      </c>
      <c r="M21" s="4">
        <v>4267</v>
      </c>
      <c r="N21" s="4">
        <v>4</v>
      </c>
      <c r="P21" t="s">
        <v>26</v>
      </c>
      <c r="U21" s="23">
        <v>1.5100000000000001E-2</v>
      </c>
    </row>
    <row r="22" spans="2:21" x14ac:dyDescent="0.25">
      <c r="B22" s="6">
        <v>3650</v>
      </c>
      <c r="C22" s="1">
        <v>778</v>
      </c>
      <c r="D22" s="6">
        <v>2</v>
      </c>
      <c r="E22" s="9" t="s">
        <v>23</v>
      </c>
      <c r="L22" s="2">
        <v>1064</v>
      </c>
      <c r="M22" s="7">
        <v>4075</v>
      </c>
      <c r="N22" s="7">
        <v>6</v>
      </c>
    </row>
    <row r="23" spans="2:21" x14ac:dyDescent="0.25">
      <c r="B23" s="6">
        <v>3650</v>
      </c>
      <c r="C23" s="1">
        <v>777</v>
      </c>
      <c r="D23" s="6">
        <v>2</v>
      </c>
      <c r="E23" s="9" t="s">
        <v>16</v>
      </c>
    </row>
    <row r="24" spans="2:21" x14ac:dyDescent="0.25">
      <c r="B24" s="6">
        <v>3650</v>
      </c>
      <c r="C24" s="1">
        <v>776</v>
      </c>
      <c r="D24" s="6">
        <v>1</v>
      </c>
      <c r="E24" s="9">
        <v>2</v>
      </c>
      <c r="L24" t="s">
        <v>31</v>
      </c>
      <c r="O24" s="11" t="s">
        <v>9</v>
      </c>
    </row>
    <row r="25" spans="2:21" x14ac:dyDescent="0.25">
      <c r="B25" s="6">
        <v>3650</v>
      </c>
      <c r="C25" s="1">
        <v>650.5</v>
      </c>
      <c r="D25" s="6">
        <v>2</v>
      </c>
      <c r="E25" s="9" t="s">
        <v>15</v>
      </c>
    </row>
    <row r="26" spans="2:21" x14ac:dyDescent="0.25">
      <c r="B26" s="6">
        <v>3650</v>
      </c>
      <c r="C26" s="1">
        <v>620</v>
      </c>
      <c r="D26" s="6">
        <v>1</v>
      </c>
      <c r="E26" s="9">
        <v>8</v>
      </c>
    </row>
    <row r="27" spans="2:21" x14ac:dyDescent="0.25">
      <c r="B27" s="6">
        <v>3650</v>
      </c>
      <c r="C27" s="1">
        <v>542</v>
      </c>
      <c r="D27" s="6">
        <v>1</v>
      </c>
      <c r="E27" s="9">
        <v>8</v>
      </c>
    </row>
    <row r="28" spans="2:21" x14ac:dyDescent="0.25">
      <c r="B28" s="6">
        <v>3650</v>
      </c>
      <c r="C28" s="1">
        <v>491</v>
      </c>
      <c r="D28" s="6">
        <v>1</v>
      </c>
      <c r="E28" s="9">
        <v>3</v>
      </c>
    </row>
    <row r="29" spans="2:21" x14ac:dyDescent="0.25">
      <c r="B29" s="6">
        <v>3650</v>
      </c>
      <c r="C29" s="1">
        <v>445</v>
      </c>
      <c r="D29" s="6">
        <v>1</v>
      </c>
      <c r="E29" s="9">
        <v>1</v>
      </c>
    </row>
    <row r="30" spans="2:21" x14ac:dyDescent="0.25">
      <c r="B30" s="7">
        <v>3650</v>
      </c>
      <c r="C30" s="15">
        <v>296</v>
      </c>
      <c r="D30" s="7">
        <v>2</v>
      </c>
      <c r="E30" s="16" t="s">
        <v>11</v>
      </c>
    </row>
    <row r="32" spans="2:21" x14ac:dyDescent="0.25">
      <c r="B32" t="s">
        <v>31</v>
      </c>
      <c r="F32" s="11">
        <v>220</v>
      </c>
      <c r="G32" t="s">
        <v>4</v>
      </c>
    </row>
    <row r="34" spans="1:22" x14ac:dyDescent="0.25">
      <c r="B34" t="s">
        <v>24</v>
      </c>
      <c r="F34" s="11">
        <v>237.6</v>
      </c>
      <c r="G34" t="s">
        <v>4</v>
      </c>
    </row>
    <row r="36" spans="1:22" x14ac:dyDescent="0.25">
      <c r="B36" t="s">
        <v>25</v>
      </c>
      <c r="D36" s="17"/>
      <c r="F36" s="18">
        <v>0.08</v>
      </c>
    </row>
    <row r="39" spans="1:22" ht="21" x14ac:dyDescent="0.35">
      <c r="A39" s="12" t="s">
        <v>27</v>
      </c>
      <c r="B39" s="19"/>
    </row>
    <row r="41" spans="1:22" x14ac:dyDescent="0.25">
      <c r="A41" s="11" t="s">
        <v>34</v>
      </c>
      <c r="L41" s="11" t="s">
        <v>7</v>
      </c>
    </row>
    <row r="43" spans="1:22" x14ac:dyDescent="0.25">
      <c r="B43" s="3" t="s">
        <v>3</v>
      </c>
      <c r="C43" s="3" t="s">
        <v>0</v>
      </c>
      <c r="D43" s="2" t="s">
        <v>2</v>
      </c>
      <c r="E43" s="21" t="s">
        <v>35</v>
      </c>
      <c r="M43" s="3" t="s">
        <v>0</v>
      </c>
      <c r="N43" s="2" t="s">
        <v>2</v>
      </c>
      <c r="P43" t="s">
        <v>36</v>
      </c>
      <c r="U43" s="11" t="s">
        <v>37</v>
      </c>
    </row>
    <row r="44" spans="1:22" x14ac:dyDescent="0.25">
      <c r="B44" s="5">
        <v>2550</v>
      </c>
      <c r="C44" s="14">
        <v>1083</v>
      </c>
      <c r="D44" s="5">
        <v>2</v>
      </c>
      <c r="E44" s="9" t="s">
        <v>12</v>
      </c>
      <c r="L44" s="2" t="s">
        <v>3</v>
      </c>
      <c r="M44" s="4" t="s">
        <v>1</v>
      </c>
      <c r="N44" s="4">
        <v>750</v>
      </c>
    </row>
    <row r="45" spans="1:22" x14ac:dyDescent="0.25">
      <c r="A45" s="1"/>
      <c r="B45" s="6">
        <v>2550</v>
      </c>
      <c r="C45" s="1">
        <v>1078</v>
      </c>
      <c r="D45" s="6">
        <v>1</v>
      </c>
      <c r="E45" s="9">
        <v>2</v>
      </c>
      <c r="M45" s="4">
        <v>984</v>
      </c>
      <c r="N45" s="4">
        <v>13</v>
      </c>
    </row>
    <row r="46" spans="1:22" x14ac:dyDescent="0.25">
      <c r="A46" s="1"/>
      <c r="B46" s="6">
        <v>2550</v>
      </c>
      <c r="C46" s="1">
        <v>1037</v>
      </c>
      <c r="D46" s="6">
        <v>2</v>
      </c>
      <c r="E46" s="9" t="s">
        <v>13</v>
      </c>
      <c r="M46" s="4">
        <v>788</v>
      </c>
      <c r="N46" s="7">
        <v>12</v>
      </c>
    </row>
    <row r="47" spans="1:22" x14ac:dyDescent="0.25">
      <c r="B47" s="6">
        <v>2550</v>
      </c>
      <c r="C47" s="1">
        <v>1028.5</v>
      </c>
      <c r="D47" s="6">
        <v>2</v>
      </c>
      <c r="E47" s="9" t="s">
        <v>14</v>
      </c>
    </row>
    <row r="48" spans="1:22" x14ac:dyDescent="0.25">
      <c r="A48" s="1"/>
      <c r="B48" s="6">
        <v>2550</v>
      </c>
      <c r="C48" s="1">
        <v>983.5</v>
      </c>
      <c r="D48" s="6">
        <v>2</v>
      </c>
      <c r="E48" s="9" t="s">
        <v>16</v>
      </c>
      <c r="P48" t="s">
        <v>31</v>
      </c>
      <c r="U48" s="24" t="s">
        <v>10</v>
      </c>
      <c r="V48" s="1"/>
    </row>
    <row r="49" spans="2:17" x14ac:dyDescent="0.25">
      <c r="B49" s="6">
        <v>2550</v>
      </c>
      <c r="C49" s="1">
        <v>981</v>
      </c>
      <c r="D49" s="6">
        <v>2</v>
      </c>
      <c r="E49" s="9" t="s">
        <v>17</v>
      </c>
    </row>
    <row r="50" spans="2:17" x14ac:dyDescent="0.25">
      <c r="B50" s="6">
        <v>2550</v>
      </c>
      <c r="C50" s="1">
        <v>933.5</v>
      </c>
      <c r="D50" s="6">
        <v>2</v>
      </c>
      <c r="E50" s="9" t="s">
        <v>18</v>
      </c>
    </row>
    <row r="51" spans="2:17" x14ac:dyDescent="0.25">
      <c r="B51" s="6">
        <v>2550</v>
      </c>
      <c r="C51" s="1">
        <v>877</v>
      </c>
      <c r="D51" s="6">
        <v>2</v>
      </c>
      <c r="E51" s="9" t="s">
        <v>19</v>
      </c>
    </row>
    <row r="52" spans="2:17" x14ac:dyDescent="0.25">
      <c r="B52" s="6">
        <v>2550</v>
      </c>
      <c r="C52" s="1">
        <v>876</v>
      </c>
      <c r="D52" s="6">
        <v>1</v>
      </c>
      <c r="E52" s="9">
        <v>17</v>
      </c>
    </row>
    <row r="53" spans="2:17" x14ac:dyDescent="0.25">
      <c r="B53" s="6">
        <v>2550</v>
      </c>
      <c r="C53" s="1">
        <v>867</v>
      </c>
      <c r="D53" s="6">
        <v>27</v>
      </c>
      <c r="E53" s="9" t="s">
        <v>20</v>
      </c>
    </row>
    <row r="54" spans="2:17" x14ac:dyDescent="0.25">
      <c r="B54" s="6">
        <v>2550</v>
      </c>
      <c r="C54" s="1">
        <v>833</v>
      </c>
      <c r="D54" s="6">
        <v>4</v>
      </c>
      <c r="E54" s="9" t="s">
        <v>21</v>
      </c>
    </row>
    <row r="55" spans="2:17" ht="21" x14ac:dyDescent="0.35">
      <c r="B55" s="6">
        <v>2550</v>
      </c>
      <c r="C55" s="1">
        <v>822.3</v>
      </c>
      <c r="D55" s="6">
        <v>10</v>
      </c>
      <c r="E55" s="9" t="s">
        <v>22</v>
      </c>
      <c r="L55" s="12" t="s">
        <v>32</v>
      </c>
      <c r="P55" s="12">
        <f>16.7+153.7+220+89.6+42.42</f>
        <v>522.41999999999996</v>
      </c>
      <c r="Q55" s="12" t="s">
        <v>4</v>
      </c>
    </row>
    <row r="56" spans="2:17" x14ac:dyDescent="0.25">
      <c r="B56" s="6">
        <v>2550</v>
      </c>
      <c r="C56" s="1">
        <v>821</v>
      </c>
      <c r="D56" s="6">
        <v>2</v>
      </c>
      <c r="E56" s="9" t="s">
        <v>14</v>
      </c>
    </row>
    <row r="57" spans="2:17" ht="21" x14ac:dyDescent="0.35">
      <c r="B57" s="6">
        <v>2550</v>
      </c>
      <c r="C57" s="1">
        <v>778</v>
      </c>
      <c r="D57" s="6">
        <v>2</v>
      </c>
      <c r="E57" s="9" t="s">
        <v>23</v>
      </c>
      <c r="L57" s="12" t="s">
        <v>33</v>
      </c>
      <c r="P57" s="12">
        <f>166+237.6+90.95+47.53+23.715</f>
        <v>565.79500000000007</v>
      </c>
      <c r="Q57" s="12" t="s">
        <v>4</v>
      </c>
    </row>
    <row r="58" spans="2:17" x14ac:dyDescent="0.25">
      <c r="B58" s="6">
        <v>2550</v>
      </c>
      <c r="C58" s="1">
        <v>777</v>
      </c>
      <c r="D58" s="6">
        <v>2</v>
      </c>
      <c r="E58" s="9" t="s">
        <v>16</v>
      </c>
    </row>
    <row r="59" spans="2:17" ht="21" x14ac:dyDescent="0.35">
      <c r="B59" s="6">
        <v>2550</v>
      </c>
      <c r="C59" s="1">
        <v>776</v>
      </c>
      <c r="D59" s="6">
        <v>1</v>
      </c>
      <c r="E59" s="9">
        <v>2</v>
      </c>
      <c r="L59" s="12" t="s">
        <v>26</v>
      </c>
      <c r="P59" s="20">
        <v>8.3000000000000004E-2</v>
      </c>
    </row>
    <row r="60" spans="2:17" x14ac:dyDescent="0.25">
      <c r="B60" s="6">
        <v>2550</v>
      </c>
      <c r="C60" s="1">
        <v>650.5</v>
      </c>
      <c r="D60" s="6">
        <v>2</v>
      </c>
      <c r="E60" s="9" t="s">
        <v>15</v>
      </c>
    </row>
    <row r="61" spans="2:17" x14ac:dyDescent="0.25">
      <c r="B61" s="6">
        <v>2550</v>
      </c>
      <c r="C61" s="1">
        <v>620</v>
      </c>
      <c r="D61" s="6">
        <v>1</v>
      </c>
      <c r="E61" s="9">
        <v>8</v>
      </c>
    </row>
    <row r="62" spans="2:17" x14ac:dyDescent="0.25">
      <c r="B62" s="6">
        <v>2550</v>
      </c>
      <c r="C62" s="1">
        <v>542</v>
      </c>
      <c r="D62" s="6">
        <v>1</v>
      </c>
      <c r="E62" s="9">
        <v>8</v>
      </c>
    </row>
    <row r="63" spans="2:17" x14ac:dyDescent="0.25">
      <c r="B63" s="6">
        <v>2550</v>
      </c>
      <c r="C63" s="1">
        <v>491</v>
      </c>
      <c r="D63" s="6">
        <v>1</v>
      </c>
      <c r="E63" s="9">
        <v>3</v>
      </c>
    </row>
    <row r="64" spans="2:17" x14ac:dyDescent="0.25">
      <c r="B64" s="6">
        <v>2550</v>
      </c>
      <c r="C64" s="1">
        <v>445</v>
      </c>
      <c r="D64" s="6">
        <v>1</v>
      </c>
      <c r="E64" s="9">
        <v>1</v>
      </c>
    </row>
    <row r="65" spans="1:8" x14ac:dyDescent="0.25">
      <c r="B65" s="7">
        <v>2550</v>
      </c>
      <c r="C65" s="15">
        <v>296</v>
      </c>
      <c r="D65" s="7">
        <v>2</v>
      </c>
      <c r="E65" s="16" t="s">
        <v>11</v>
      </c>
    </row>
    <row r="67" spans="1:8" x14ac:dyDescent="0.25">
      <c r="B67" t="s">
        <v>31</v>
      </c>
      <c r="F67" s="11" t="s">
        <v>8</v>
      </c>
    </row>
    <row r="69" spans="1:8" x14ac:dyDescent="0.25">
      <c r="B69" t="s">
        <v>29</v>
      </c>
      <c r="F69" s="11" t="s">
        <v>30</v>
      </c>
    </row>
    <row r="71" spans="1:8" x14ac:dyDescent="0.25">
      <c r="B71" t="s">
        <v>26</v>
      </c>
      <c r="F71" s="22">
        <v>0.08</v>
      </c>
    </row>
    <row r="75" spans="1:8" ht="26.25" x14ac:dyDescent="0.4">
      <c r="A75" s="25" t="s">
        <v>42</v>
      </c>
    </row>
    <row r="77" spans="1:8" ht="18.75" x14ac:dyDescent="0.3">
      <c r="A77" s="26" t="s">
        <v>46</v>
      </c>
    </row>
    <row r="78" spans="1:8" ht="15.75" x14ac:dyDescent="0.25">
      <c r="H78" s="27" t="s">
        <v>47</v>
      </c>
    </row>
    <row r="79" spans="1:8" ht="15.75" x14ac:dyDescent="0.25">
      <c r="A79" s="27" t="s">
        <v>43</v>
      </c>
      <c r="D79" s="2">
        <v>3350</v>
      </c>
      <c r="E79" s="2">
        <v>1580</v>
      </c>
      <c r="F79" s="2">
        <v>1250</v>
      </c>
      <c r="G79" s="2">
        <v>1007</v>
      </c>
      <c r="H79" s="2">
        <v>1064</v>
      </c>
    </row>
    <row r="80" spans="1:8" ht="15.75" x14ac:dyDescent="0.25">
      <c r="A80" s="27" t="s">
        <v>44</v>
      </c>
      <c r="D80" s="2">
        <v>96</v>
      </c>
      <c r="E80" s="2">
        <v>44</v>
      </c>
      <c r="F80" s="2">
        <v>2</v>
      </c>
      <c r="G80" s="2">
        <v>44</v>
      </c>
      <c r="H80" s="2">
        <v>16</v>
      </c>
    </row>
    <row r="81" spans="1:12" ht="15.75" x14ac:dyDescent="0.25">
      <c r="A81" s="27" t="s">
        <v>54</v>
      </c>
      <c r="D81" s="2">
        <f>4*D80</f>
        <v>384</v>
      </c>
      <c r="E81" s="2">
        <v>88</v>
      </c>
      <c r="F81" s="2">
        <v>4</v>
      </c>
      <c r="G81" s="2">
        <v>88</v>
      </c>
      <c r="H81" s="2">
        <f>4*H80</f>
        <v>64</v>
      </c>
    </row>
    <row r="82" spans="1:12" ht="15.75" x14ac:dyDescent="0.25">
      <c r="A82" s="27" t="s">
        <v>55</v>
      </c>
      <c r="D82" s="2"/>
      <c r="E82" s="2">
        <v>88</v>
      </c>
      <c r="F82" s="2">
        <v>4</v>
      </c>
      <c r="G82" s="2">
        <v>88</v>
      </c>
      <c r="H82" s="2"/>
    </row>
    <row r="83" spans="1:12" ht="15.75" x14ac:dyDescent="0.25">
      <c r="A83" s="27" t="s">
        <v>52</v>
      </c>
      <c r="D83" s="2">
        <v>97</v>
      </c>
      <c r="E83" s="2">
        <v>44</v>
      </c>
      <c r="F83" s="28" t="s">
        <v>49</v>
      </c>
      <c r="G83" s="2">
        <v>44</v>
      </c>
      <c r="H83" s="2">
        <v>16</v>
      </c>
    </row>
    <row r="85" spans="1:12" ht="15.75" x14ac:dyDescent="0.25">
      <c r="A85" s="27" t="s">
        <v>58</v>
      </c>
      <c r="D85" s="32">
        <f>D83*34.32</f>
        <v>3329.04</v>
      </c>
      <c r="E85" s="32">
        <f>E83*17.16</f>
        <v>755.04</v>
      </c>
      <c r="F85" s="31"/>
      <c r="G85" s="32">
        <f>G83*8.58</f>
        <v>377.52</v>
      </c>
      <c r="H85" s="32">
        <f>H83*(34.32/3)</f>
        <v>183.04</v>
      </c>
    </row>
    <row r="86" spans="1:12" ht="15.75" x14ac:dyDescent="0.25">
      <c r="A86" s="27" t="s">
        <v>60</v>
      </c>
      <c r="D86" s="32">
        <f>D83*34.62</f>
        <v>3358.14</v>
      </c>
      <c r="E86" s="32">
        <f>E83*16.33</f>
        <v>718.52</v>
      </c>
      <c r="G86" s="32">
        <f>G83*10.4</f>
        <v>457.6</v>
      </c>
      <c r="H86" s="32">
        <f>H83*10.99</f>
        <v>175.84</v>
      </c>
    </row>
    <row r="87" spans="1:12" ht="15.75" x14ac:dyDescent="0.25">
      <c r="A87" s="27" t="s">
        <v>118</v>
      </c>
      <c r="D87" s="32">
        <f>32.06*D83</f>
        <v>3109.82</v>
      </c>
      <c r="E87" s="32">
        <f>15.12*E83</f>
        <v>665.28</v>
      </c>
      <c r="G87" s="32">
        <f>9.64*G83</f>
        <v>424.16</v>
      </c>
      <c r="H87" s="32">
        <f>10.18*H83</f>
        <v>162.88</v>
      </c>
    </row>
    <row r="88" spans="1:12" ht="15.75" x14ac:dyDescent="0.25">
      <c r="A88" s="27" t="s">
        <v>120</v>
      </c>
      <c r="D88" s="32">
        <f>33.79*D83</f>
        <v>3277.63</v>
      </c>
      <c r="E88" s="32">
        <f>16.51*E83</f>
        <v>726.44</v>
      </c>
      <c r="G88" s="32">
        <f>12.11*G83</f>
        <v>532.83999999999992</v>
      </c>
      <c r="H88" s="32">
        <f>12.55*H83</f>
        <v>200.8</v>
      </c>
    </row>
    <row r="91" spans="1:12" ht="18.75" x14ac:dyDescent="0.3">
      <c r="A91" s="26" t="s">
        <v>45</v>
      </c>
    </row>
    <row r="92" spans="1:12" ht="15.75" x14ac:dyDescent="0.25">
      <c r="L92" s="27" t="s">
        <v>47</v>
      </c>
    </row>
    <row r="93" spans="1:12" ht="15.75" x14ac:dyDescent="0.25">
      <c r="A93" s="27" t="s">
        <v>43</v>
      </c>
      <c r="D93" s="2">
        <v>3350</v>
      </c>
      <c r="E93" s="2">
        <v>2284</v>
      </c>
      <c r="F93" s="2">
        <v>2130</v>
      </c>
      <c r="G93" s="2">
        <v>1790</v>
      </c>
      <c r="H93" s="2">
        <v>1580</v>
      </c>
      <c r="I93" s="2">
        <v>1250</v>
      </c>
      <c r="J93" s="2">
        <v>1007</v>
      </c>
      <c r="K93" s="2">
        <v>494</v>
      </c>
      <c r="L93" s="2">
        <v>1064</v>
      </c>
    </row>
    <row r="94" spans="1:12" ht="15.75" x14ac:dyDescent="0.25">
      <c r="A94" s="27" t="s">
        <v>44</v>
      </c>
      <c r="D94" s="2">
        <v>126</v>
      </c>
      <c r="E94" s="2">
        <v>40</v>
      </c>
      <c r="F94" s="2">
        <v>2</v>
      </c>
      <c r="G94" s="2">
        <v>38</v>
      </c>
      <c r="H94" s="2">
        <v>26</v>
      </c>
      <c r="I94" s="2">
        <v>1</v>
      </c>
      <c r="J94" s="2">
        <v>26</v>
      </c>
      <c r="K94" s="2">
        <v>5</v>
      </c>
      <c r="L94" s="2">
        <v>100</v>
      </c>
    </row>
    <row r="95" spans="1:12" ht="15.75" x14ac:dyDescent="0.25">
      <c r="A95" s="27" t="s">
        <v>54</v>
      </c>
      <c r="D95" s="2">
        <f>4*D94</f>
        <v>504</v>
      </c>
      <c r="E95" s="2">
        <v>40</v>
      </c>
      <c r="F95" s="2"/>
      <c r="H95" s="2">
        <v>56</v>
      </c>
      <c r="I95" s="2">
        <v>2</v>
      </c>
      <c r="J95" s="2">
        <v>56</v>
      </c>
      <c r="K95" s="2">
        <v>10</v>
      </c>
      <c r="L95" s="2">
        <f>4*L94</f>
        <v>400</v>
      </c>
    </row>
    <row r="96" spans="1:12" ht="15.75" x14ac:dyDescent="0.25">
      <c r="A96" s="27" t="s">
        <v>55</v>
      </c>
      <c r="D96" s="2"/>
      <c r="E96" s="2">
        <v>120</v>
      </c>
      <c r="F96" s="2">
        <v>8</v>
      </c>
      <c r="G96" s="2">
        <f>4*G94</f>
        <v>152</v>
      </c>
      <c r="H96" s="2">
        <v>56</v>
      </c>
      <c r="I96" s="2">
        <v>2</v>
      </c>
      <c r="J96" s="2">
        <v>56</v>
      </c>
      <c r="K96" s="2">
        <v>10</v>
      </c>
      <c r="L96" s="2"/>
    </row>
    <row r="97" spans="1:12" ht="15.75" x14ac:dyDescent="0.25">
      <c r="A97" s="27" t="s">
        <v>52</v>
      </c>
      <c r="D97" s="2">
        <v>126</v>
      </c>
      <c r="E97" s="2">
        <v>42</v>
      </c>
      <c r="F97" s="28" t="s">
        <v>50</v>
      </c>
      <c r="G97" s="2">
        <v>38</v>
      </c>
      <c r="H97" s="2">
        <v>28</v>
      </c>
      <c r="I97" s="28" t="s">
        <v>51</v>
      </c>
      <c r="J97" s="2">
        <v>27</v>
      </c>
      <c r="K97" s="28" t="s">
        <v>51</v>
      </c>
      <c r="L97" s="2">
        <v>100</v>
      </c>
    </row>
    <row r="98" spans="1:12" x14ac:dyDescent="0.25">
      <c r="K98" s="29" t="s">
        <v>56</v>
      </c>
    </row>
    <row r="99" spans="1:12" ht="15.75" x14ac:dyDescent="0.25">
      <c r="A99" s="27" t="s">
        <v>58</v>
      </c>
      <c r="D99" s="32">
        <f>D97*17.68</f>
        <v>2227.6799999999998</v>
      </c>
      <c r="E99" s="32">
        <f>E97*13.26</f>
        <v>556.91999999999996</v>
      </c>
      <c r="F99" s="31"/>
      <c r="G99" s="32">
        <f>G97*8.84</f>
        <v>335.92</v>
      </c>
      <c r="H99" s="32">
        <f>H97*8.84</f>
        <v>247.51999999999998</v>
      </c>
      <c r="I99" s="31"/>
      <c r="J99" s="32">
        <f>J97*4.42</f>
        <v>119.34</v>
      </c>
      <c r="K99" s="31"/>
      <c r="L99" s="32">
        <f>L97*(13.26/2)</f>
        <v>663</v>
      </c>
    </row>
    <row r="100" spans="1:12" ht="15.75" x14ac:dyDescent="0.25">
      <c r="A100" s="27" t="s">
        <v>60</v>
      </c>
      <c r="D100" s="32">
        <f>D97*17.83</f>
        <v>2246.58</v>
      </c>
      <c r="E100" s="32">
        <f>E97*12.16</f>
        <v>510.72</v>
      </c>
      <c r="G100" s="32">
        <f>G97*9.53</f>
        <v>362.14</v>
      </c>
      <c r="H100" s="32">
        <f>H97*8.41</f>
        <v>235.48000000000002</v>
      </c>
      <c r="J100" s="32">
        <f>J97*5.36</f>
        <v>144.72</v>
      </c>
      <c r="L100" s="32">
        <f>L94*5.66</f>
        <v>566</v>
      </c>
    </row>
    <row r="101" spans="1:12" ht="15.75" x14ac:dyDescent="0.25">
      <c r="A101" s="27" t="s">
        <v>118</v>
      </c>
      <c r="D101" s="32">
        <f>16.52*D97</f>
        <v>2081.52</v>
      </c>
      <c r="E101" s="32">
        <f>11.26*E97</f>
        <v>472.92</v>
      </c>
      <c r="G101" s="32">
        <f>8.82*G97</f>
        <v>335.16</v>
      </c>
      <c r="H101" s="32">
        <f>7.79*H97</f>
        <v>218.12</v>
      </c>
      <c r="J101" s="32">
        <f>4.96*J97</f>
        <v>133.91999999999999</v>
      </c>
      <c r="L101" s="32">
        <f>5.25*L97</f>
        <v>525</v>
      </c>
    </row>
    <row r="102" spans="1:12" ht="15.75" x14ac:dyDescent="0.25">
      <c r="A102" s="27" t="s">
        <v>120</v>
      </c>
      <c r="D102" s="32">
        <f>16.54*D97</f>
        <v>2084.04</v>
      </c>
      <c r="E102" s="32">
        <f>12.33*E97</f>
        <v>517.86</v>
      </c>
      <c r="G102" s="32">
        <f>10.36*G97</f>
        <v>393.67999999999995</v>
      </c>
      <c r="H102" s="32">
        <f>9.54*H97</f>
        <v>267.12</v>
      </c>
      <c r="J102" s="32">
        <f>7.25*J97</f>
        <v>195.75</v>
      </c>
      <c r="L102" s="32">
        <f>7.49*L97</f>
        <v>749</v>
      </c>
    </row>
    <row r="105" spans="1:12" ht="15.75" x14ac:dyDescent="0.25">
      <c r="A105" s="27" t="s">
        <v>59</v>
      </c>
      <c r="D105" s="65">
        <f>D99+E99+G99+H99+J99+L99+H85+G85+E85+D85</f>
        <v>8795.02</v>
      </c>
    </row>
    <row r="106" spans="1:12" ht="15.75" x14ac:dyDescent="0.25">
      <c r="A106" s="27" t="s">
        <v>61</v>
      </c>
      <c r="D106" s="32">
        <f>D86+E86+G86+H86+D100+E100+G100+H100+J100+L100</f>
        <v>8775.74</v>
      </c>
      <c r="E106" s="31">
        <f>D106-D107</f>
        <v>646.96</v>
      </c>
      <c r="F106" s="63"/>
    </row>
    <row r="107" spans="1:12" ht="15.75" x14ac:dyDescent="0.25">
      <c r="A107" s="27" t="s">
        <v>119</v>
      </c>
      <c r="D107" s="33">
        <f>D87+E87+G87+H87+D101+E101+G101+H101+J101+L101</f>
        <v>8128.78</v>
      </c>
      <c r="F107" s="31"/>
      <c r="G107" s="31"/>
    </row>
    <row r="108" spans="1:12" ht="15.75" x14ac:dyDescent="0.25">
      <c r="A108" s="27" t="s">
        <v>120</v>
      </c>
      <c r="D108" s="65">
        <f>D88+E88+G88+H88+D102+E102+G102+H102+J102+L102</f>
        <v>8945.16</v>
      </c>
    </row>
    <row r="110" spans="1:12" x14ac:dyDescent="0.25">
      <c r="J110" s="63"/>
    </row>
    <row r="111" spans="1:12" ht="15.75" x14ac:dyDescent="0.25">
      <c r="A111" s="27" t="s">
        <v>53</v>
      </c>
      <c r="D111" s="30">
        <f>D81+E81+F81+G81+H81+D95+E95+H95+I95+J95+K95+L95</f>
        <v>1696</v>
      </c>
      <c r="J111" s="31"/>
    </row>
    <row r="112" spans="1:12" ht="15.75" x14ac:dyDescent="0.25">
      <c r="A112" s="27" t="s">
        <v>57</v>
      </c>
      <c r="D112" s="30">
        <f>E82+F82+G82+E96+F96+G96+H96+I96+J96+K96</f>
        <v>584</v>
      </c>
    </row>
    <row r="114" spans="1:9" ht="15.75" x14ac:dyDescent="0.25">
      <c r="A114" s="27" t="s">
        <v>48</v>
      </c>
      <c r="D114" s="30">
        <v>3284</v>
      </c>
    </row>
    <row r="116" spans="1:9" ht="15.75" x14ac:dyDescent="0.25">
      <c r="A116" s="27" t="s">
        <v>75</v>
      </c>
    </row>
    <row r="117" spans="1:9" x14ac:dyDescent="0.25">
      <c r="A117" s="11" t="s">
        <v>84</v>
      </c>
      <c r="D117" s="37">
        <f>(D93*D94+E93*E94+F93*F94+G93*G94+H93*H94+I93*I94+J93*J94+K93*K94+L93*L94)*0.001</f>
        <v>763.12200000000007</v>
      </c>
      <c r="E117" s="38" t="s">
        <v>68</v>
      </c>
    </row>
    <row r="118" spans="1:9" x14ac:dyDescent="0.25">
      <c r="A118" s="11" t="s">
        <v>85</v>
      </c>
      <c r="D118" s="37">
        <f>(D79*D80+E79*E80+F79*F80+G79*G80+H79*H80)*0.001</f>
        <v>454.952</v>
      </c>
      <c r="E118" s="38" t="s">
        <v>68</v>
      </c>
    </row>
    <row r="121" spans="1:9" ht="26.25" x14ac:dyDescent="0.4">
      <c r="A121" s="25" t="s">
        <v>79</v>
      </c>
    </row>
    <row r="122" spans="1:9" ht="15.75" x14ac:dyDescent="0.25">
      <c r="A122" s="35" t="s">
        <v>65</v>
      </c>
      <c r="B122" s="35" t="s">
        <v>66</v>
      </c>
      <c r="C122" s="35"/>
      <c r="D122" s="35" t="s">
        <v>67</v>
      </c>
      <c r="E122" s="35" t="s">
        <v>69</v>
      </c>
      <c r="F122" s="35" t="s">
        <v>72</v>
      </c>
      <c r="G122" s="35" t="s">
        <v>70</v>
      </c>
      <c r="H122" s="36" t="s">
        <v>81</v>
      </c>
      <c r="I122" s="36" t="s">
        <v>80</v>
      </c>
    </row>
    <row r="123" spans="1:9" ht="18.75" x14ac:dyDescent="0.3">
      <c r="B123" s="26" t="s">
        <v>63</v>
      </c>
    </row>
    <row r="125" spans="1:9" ht="15.75" x14ac:dyDescent="0.25">
      <c r="B125" s="34" t="s">
        <v>64</v>
      </c>
      <c r="C125" s="34"/>
      <c r="D125" s="39">
        <v>69.599999999999994</v>
      </c>
      <c r="E125" s="40">
        <v>1</v>
      </c>
      <c r="F125" s="40">
        <v>1.0900000000000001</v>
      </c>
      <c r="G125" s="39">
        <f>D125*E125*F125</f>
        <v>75.864000000000004</v>
      </c>
      <c r="H125" s="40">
        <v>522.4</v>
      </c>
      <c r="I125" s="39">
        <f>G125*H125</f>
        <v>39631.353600000002</v>
      </c>
    </row>
    <row r="126" spans="1:9" ht="15.75" x14ac:dyDescent="0.25">
      <c r="D126" s="1"/>
      <c r="E126" s="1"/>
      <c r="F126" s="39"/>
      <c r="G126" s="39"/>
      <c r="H126" s="40"/>
      <c r="I126" s="39"/>
    </row>
    <row r="127" spans="1:9" ht="15.75" x14ac:dyDescent="0.25">
      <c r="B127" s="34" t="s">
        <v>42</v>
      </c>
      <c r="C127" s="34" t="s">
        <v>121</v>
      </c>
      <c r="D127" s="39">
        <v>15.56</v>
      </c>
      <c r="E127" s="40">
        <v>1</v>
      </c>
      <c r="F127" s="40">
        <v>1.05</v>
      </c>
      <c r="G127" s="39">
        <f t="shared" ref="G127:G135" si="0">D127*E127*F127</f>
        <v>16.338000000000001</v>
      </c>
      <c r="H127" s="40">
        <v>522.4</v>
      </c>
      <c r="I127" s="39">
        <f>G127*H127</f>
        <v>8534.9712</v>
      </c>
    </row>
    <row r="128" spans="1:9" ht="15.75" x14ac:dyDescent="0.25">
      <c r="D128" s="1"/>
      <c r="E128" s="1"/>
      <c r="F128" s="1"/>
      <c r="G128" s="39"/>
      <c r="H128" s="40"/>
      <c r="I128" s="39"/>
    </row>
    <row r="129" spans="2:9" ht="15.75" x14ac:dyDescent="0.25">
      <c r="B129" s="34" t="s">
        <v>71</v>
      </c>
      <c r="D129" s="39">
        <v>15</v>
      </c>
      <c r="E129" s="40">
        <v>1</v>
      </c>
      <c r="F129" s="40">
        <v>1</v>
      </c>
      <c r="G129" s="39">
        <f t="shared" si="0"/>
        <v>15</v>
      </c>
      <c r="H129" s="40">
        <v>522.4</v>
      </c>
      <c r="I129" s="39">
        <f t="shared" ref="I129:I135" si="1">G129*H129</f>
        <v>7836</v>
      </c>
    </row>
    <row r="130" spans="2:9" ht="15.75" x14ac:dyDescent="0.25">
      <c r="B130" s="34"/>
      <c r="D130" s="40"/>
      <c r="E130" s="40"/>
      <c r="F130" s="40"/>
      <c r="G130" s="39"/>
      <c r="H130" s="40"/>
      <c r="I130" s="39"/>
    </row>
    <row r="131" spans="2:9" ht="15.75" x14ac:dyDescent="0.25">
      <c r="B131" s="34" t="s">
        <v>74</v>
      </c>
      <c r="D131" s="39">
        <v>0.23</v>
      </c>
      <c r="E131" s="40">
        <v>7.7</v>
      </c>
      <c r="F131" s="40">
        <v>1.1000000000000001</v>
      </c>
      <c r="G131" s="39">
        <f t="shared" si="0"/>
        <v>1.9481000000000004</v>
      </c>
      <c r="H131" s="40">
        <v>522.4</v>
      </c>
      <c r="I131" s="39">
        <f t="shared" si="1"/>
        <v>1017.6874400000002</v>
      </c>
    </row>
    <row r="132" spans="2:9" ht="15.75" x14ac:dyDescent="0.25">
      <c r="D132" s="1"/>
      <c r="E132" s="1"/>
      <c r="F132" s="1"/>
      <c r="G132" s="39"/>
      <c r="H132" s="40"/>
      <c r="I132" s="39"/>
    </row>
    <row r="133" spans="2:9" ht="15.75" x14ac:dyDescent="0.25">
      <c r="B133" s="34" t="s">
        <v>73</v>
      </c>
      <c r="C133" s="34"/>
      <c r="D133" s="39"/>
      <c r="E133" s="40"/>
      <c r="F133" s="40"/>
      <c r="G133" s="39"/>
      <c r="H133" s="40"/>
      <c r="I133" s="39"/>
    </row>
    <row r="134" spans="2:9" ht="15.75" x14ac:dyDescent="0.25">
      <c r="B134" s="45" t="s">
        <v>88</v>
      </c>
      <c r="D134" s="39">
        <v>0.34</v>
      </c>
      <c r="E134" s="40">
        <v>3.2469999999999999</v>
      </c>
      <c r="F134" s="40">
        <v>1.1000000000000001</v>
      </c>
      <c r="G134" s="39">
        <f t="shared" si="0"/>
        <v>1.214378</v>
      </c>
      <c r="H134" s="40">
        <v>522.4</v>
      </c>
      <c r="I134" s="39">
        <f t="shared" si="1"/>
        <v>634.39106719999995</v>
      </c>
    </row>
    <row r="135" spans="2:9" ht="15.75" x14ac:dyDescent="0.25">
      <c r="B135" s="45" t="s">
        <v>89</v>
      </c>
      <c r="D135" s="39">
        <v>0.41</v>
      </c>
      <c r="E135" s="40">
        <v>1.1200000000000001</v>
      </c>
      <c r="F135" s="40">
        <v>1.1000000000000001</v>
      </c>
      <c r="G135" s="39">
        <f t="shared" si="0"/>
        <v>0.50512000000000001</v>
      </c>
      <c r="H135" s="40">
        <v>522.4</v>
      </c>
      <c r="I135" s="39">
        <f t="shared" si="1"/>
        <v>263.87468799999999</v>
      </c>
    </row>
    <row r="137" spans="2:9" ht="15.75" x14ac:dyDescent="0.25">
      <c r="B137" s="34" t="s">
        <v>75</v>
      </c>
      <c r="C137" s="34"/>
      <c r="D137" s="39"/>
      <c r="E137" s="40"/>
      <c r="F137" s="40"/>
      <c r="G137" s="39"/>
      <c r="H137" s="40"/>
      <c r="I137" s="39"/>
    </row>
    <row r="138" spans="2:9" ht="15.75" x14ac:dyDescent="0.25">
      <c r="B138" s="44" t="s">
        <v>86</v>
      </c>
      <c r="D138" s="39">
        <v>0.19</v>
      </c>
      <c r="E138" s="40">
        <v>1.46</v>
      </c>
      <c r="F138" s="40">
        <v>1.1000000000000001</v>
      </c>
      <c r="G138" s="39">
        <f>D138*E138*F138</f>
        <v>0.30514000000000002</v>
      </c>
      <c r="H138" s="40">
        <v>522.4</v>
      </c>
      <c r="I138" s="39">
        <f>G138*H138</f>
        <v>159.405136</v>
      </c>
    </row>
    <row r="139" spans="2:9" ht="15.75" x14ac:dyDescent="0.25">
      <c r="B139" s="44" t="s">
        <v>87</v>
      </c>
      <c r="D139" s="39">
        <v>0.82499999999999996</v>
      </c>
      <c r="E139" s="40">
        <v>0.871</v>
      </c>
      <c r="F139" s="40">
        <v>1.1000000000000001</v>
      </c>
      <c r="G139" s="39">
        <f>D139*E139*F139</f>
        <v>0.79043249999999998</v>
      </c>
      <c r="H139" s="40">
        <v>522.4</v>
      </c>
      <c r="I139" s="39">
        <f>G139*H139</f>
        <v>412.92193799999995</v>
      </c>
    </row>
    <row r="141" spans="2:9" ht="15.75" x14ac:dyDescent="0.25">
      <c r="B141" s="34" t="s">
        <v>76</v>
      </c>
      <c r="C141" s="34"/>
      <c r="D141" s="40"/>
      <c r="E141" s="40"/>
      <c r="F141" s="40"/>
      <c r="G141" s="41">
        <f>SUM(G125:G139)</f>
        <v>111.96517049999999</v>
      </c>
      <c r="H141" s="40">
        <v>522.4</v>
      </c>
      <c r="I141" s="41">
        <f>G141*H141</f>
        <v>58490.605069199992</v>
      </c>
    </row>
    <row r="142" spans="2:9" ht="15.75" x14ac:dyDescent="0.25">
      <c r="D142" s="1"/>
      <c r="E142" s="1"/>
      <c r="F142" s="1"/>
      <c r="G142" s="1"/>
      <c r="H142" s="1"/>
      <c r="I142" s="39"/>
    </row>
    <row r="143" spans="2:9" ht="15.75" x14ac:dyDescent="0.25">
      <c r="B143" t="s">
        <v>77</v>
      </c>
      <c r="D143" s="1"/>
      <c r="E143" s="1"/>
      <c r="F143" s="1"/>
      <c r="G143" s="41">
        <v>50</v>
      </c>
      <c r="H143" s="40">
        <v>522.4</v>
      </c>
      <c r="I143" s="41">
        <f>G143*H143</f>
        <v>26120</v>
      </c>
    </row>
    <row r="144" spans="2:9" x14ac:dyDescent="0.25">
      <c r="D144" s="1"/>
      <c r="E144" s="1"/>
      <c r="F144" s="1"/>
      <c r="G144" s="1"/>
      <c r="H144" s="1"/>
      <c r="I144" s="1"/>
    </row>
    <row r="145" spans="1:18" ht="15.75" x14ac:dyDescent="0.25">
      <c r="B145" s="27" t="s">
        <v>78</v>
      </c>
      <c r="D145" s="1"/>
      <c r="E145" s="1"/>
      <c r="F145" s="1"/>
      <c r="G145" s="42">
        <f>G141+G143</f>
        <v>161.9651705</v>
      </c>
      <c r="H145" s="40">
        <v>522.4</v>
      </c>
      <c r="I145" s="42">
        <f>G145*H145</f>
        <v>84610.605069199999</v>
      </c>
    </row>
    <row r="146" spans="1:18" x14ac:dyDescent="0.25">
      <c r="D146" s="1"/>
      <c r="E146" s="1"/>
      <c r="F146" s="1"/>
      <c r="G146" s="1"/>
      <c r="H146" s="1"/>
      <c r="I146" s="1"/>
    </row>
    <row r="147" spans="1:18" ht="26.25" x14ac:dyDescent="0.4">
      <c r="A147" s="25" t="s">
        <v>82</v>
      </c>
      <c r="C147" s="27" t="s">
        <v>108</v>
      </c>
      <c r="D147" s="1"/>
      <c r="E147" s="1"/>
      <c r="F147" s="1"/>
      <c r="G147" s="42">
        <v>270</v>
      </c>
      <c r="H147" s="40">
        <v>548</v>
      </c>
      <c r="I147" s="42">
        <f>G147*H147</f>
        <v>147960</v>
      </c>
    </row>
    <row r="148" spans="1:18" ht="15.75" x14ac:dyDescent="0.25">
      <c r="C148" s="27"/>
      <c r="D148" s="1"/>
      <c r="E148" s="1"/>
      <c r="F148" s="1"/>
      <c r="G148" s="43"/>
      <c r="H148" s="43"/>
      <c r="I148" s="43"/>
    </row>
    <row r="149" spans="1:18" ht="26.25" x14ac:dyDescent="0.4">
      <c r="A149" s="25" t="s">
        <v>83</v>
      </c>
      <c r="D149" s="1"/>
      <c r="E149" s="1"/>
      <c r="F149" s="1"/>
      <c r="G149" s="43"/>
      <c r="H149" s="43"/>
      <c r="I149" s="42">
        <f>I147-I145</f>
        <v>63349.394930800001</v>
      </c>
    </row>
    <row r="153" spans="1:18" ht="28.5" x14ac:dyDescent="0.45">
      <c r="A153" s="48" t="s">
        <v>104</v>
      </c>
    </row>
    <row r="155" spans="1:18" ht="18.75" x14ac:dyDescent="0.3">
      <c r="A155" s="26" t="s">
        <v>91</v>
      </c>
      <c r="C155" s="1"/>
      <c r="D155" s="46">
        <v>1920</v>
      </c>
      <c r="E155" s="46">
        <v>2250</v>
      </c>
      <c r="F155" s="1"/>
      <c r="G155" s="1"/>
      <c r="H155" s="1"/>
      <c r="I155" s="26" t="s">
        <v>105</v>
      </c>
      <c r="L155" s="43" t="s">
        <v>106</v>
      </c>
      <c r="M155" s="43" t="s">
        <v>107</v>
      </c>
      <c r="N155" s="43" t="s">
        <v>77</v>
      </c>
      <c r="O155" s="43" t="s">
        <v>82</v>
      </c>
      <c r="P155" s="43" t="s">
        <v>83</v>
      </c>
    </row>
    <row r="156" spans="1:18" ht="15.75" x14ac:dyDescent="0.25">
      <c r="B156" s="27" t="s">
        <v>44</v>
      </c>
      <c r="C156" s="1"/>
      <c r="D156" s="46">
        <v>74</v>
      </c>
      <c r="E156" s="46">
        <v>6</v>
      </c>
      <c r="F156" s="1"/>
      <c r="G156" s="1"/>
      <c r="H156" s="1"/>
      <c r="J156" s="27" t="s">
        <v>98</v>
      </c>
      <c r="L156" s="53">
        <f>D157+E157+D165+E165+F165+D173+E173+D195+E195+F195+G195+H195</f>
        <v>4275.41</v>
      </c>
      <c r="M156" s="2"/>
      <c r="N156" s="53">
        <f>20*256</f>
        <v>5120</v>
      </c>
      <c r="O156" s="53">
        <v>19200</v>
      </c>
      <c r="P156" s="53">
        <f>O156-L156-M156-N156</f>
        <v>9804.59</v>
      </c>
    </row>
    <row r="157" spans="1:18" ht="15.75" x14ac:dyDescent="0.25">
      <c r="B157" s="27" t="s">
        <v>98</v>
      </c>
      <c r="C157" s="43"/>
      <c r="D157" s="42">
        <f>19.04*D156</f>
        <v>1408.96</v>
      </c>
      <c r="E157" s="42">
        <f>23.8*E156</f>
        <v>142.80000000000001</v>
      </c>
      <c r="F157" s="1"/>
      <c r="G157" s="1"/>
      <c r="H157" s="1"/>
      <c r="J157" s="27" t="s">
        <v>102</v>
      </c>
      <c r="L157" s="53">
        <f>D158+E158+D166+E166+F166+D174+E174+D196+E196+F196+G196+H196+110</f>
        <v>4002.8399999999997</v>
      </c>
      <c r="M157" s="2"/>
      <c r="N157" s="53">
        <f t="shared" ref="N157:N158" si="2">20*256</f>
        <v>5120</v>
      </c>
      <c r="O157" s="53">
        <v>19200</v>
      </c>
      <c r="P157" s="53">
        <f t="shared" ref="P157:P158" si="3">O157-L157-M157-N157</f>
        <v>10077.16</v>
      </c>
      <c r="R157" s="58"/>
    </row>
    <row r="158" spans="1:18" ht="15.75" x14ac:dyDescent="0.25">
      <c r="B158" s="27" t="s">
        <v>102</v>
      </c>
      <c r="C158" s="1"/>
      <c r="D158" s="42">
        <f>20.24*D156</f>
        <v>1497.76</v>
      </c>
      <c r="E158" s="42">
        <f>23.72*E156</f>
        <v>142.32</v>
      </c>
      <c r="F158" s="1"/>
      <c r="G158" s="1"/>
      <c r="H158" s="1"/>
      <c r="J158" s="27" t="s">
        <v>103</v>
      </c>
      <c r="L158" s="53">
        <f>D159+E159+D167+E167+F167+D175+E175+D197+E197+F197+G197+H197+110</f>
        <v>3693.5900000000006</v>
      </c>
      <c r="M158" s="2"/>
      <c r="N158" s="53">
        <f t="shared" si="2"/>
        <v>5120</v>
      </c>
      <c r="O158" s="53">
        <v>19200</v>
      </c>
      <c r="P158" s="53">
        <f t="shared" si="3"/>
        <v>10386.41</v>
      </c>
    </row>
    <row r="159" spans="1:18" ht="15.75" x14ac:dyDescent="0.25">
      <c r="B159" s="27" t="s">
        <v>103</v>
      </c>
      <c r="C159" s="1"/>
      <c r="D159" s="42">
        <f>16.32*D156</f>
        <v>1207.68</v>
      </c>
      <c r="E159" s="42">
        <f>19.13*E156</f>
        <v>114.78</v>
      </c>
      <c r="F159" s="1"/>
      <c r="G159" s="1"/>
      <c r="H159" s="1"/>
      <c r="J159" s="27"/>
      <c r="L159" s="57"/>
    </row>
    <row r="160" spans="1:18" ht="15.75" x14ac:dyDescent="0.25">
      <c r="B160" s="27" t="s">
        <v>93</v>
      </c>
      <c r="C160" s="1"/>
      <c r="D160" s="49">
        <f>(D155*D156+E155*E156)*0.001</f>
        <v>155.58000000000001</v>
      </c>
      <c r="E160" s="50"/>
      <c r="F160" s="1"/>
      <c r="G160" s="1"/>
      <c r="H160" s="1"/>
      <c r="J160" s="27"/>
      <c r="L160" s="52"/>
      <c r="M160" s="52"/>
    </row>
    <row r="161" spans="1:8" ht="15.75" x14ac:dyDescent="0.25">
      <c r="B161" s="27"/>
      <c r="C161" s="1"/>
      <c r="D161" s="1"/>
      <c r="E161" s="1"/>
      <c r="F161" s="1"/>
      <c r="G161" s="1"/>
      <c r="H161" s="1"/>
    </row>
    <row r="162" spans="1:8" x14ac:dyDescent="0.25">
      <c r="C162" s="1"/>
      <c r="D162" s="1"/>
      <c r="E162" s="1"/>
      <c r="F162" s="1"/>
      <c r="G162" s="1"/>
      <c r="H162" s="1"/>
    </row>
    <row r="163" spans="1:8" ht="18.75" x14ac:dyDescent="0.3">
      <c r="A163" s="26" t="s">
        <v>92</v>
      </c>
      <c r="C163" s="43"/>
      <c r="D163" s="46">
        <v>1700</v>
      </c>
      <c r="E163" s="46">
        <v>1250</v>
      </c>
      <c r="F163" s="46">
        <v>1100</v>
      </c>
      <c r="G163" s="1"/>
      <c r="H163" s="1"/>
    </row>
    <row r="164" spans="1:8" ht="15.75" x14ac:dyDescent="0.25">
      <c r="B164" s="27" t="s">
        <v>44</v>
      </c>
      <c r="C164" s="1"/>
      <c r="D164" s="46">
        <v>12</v>
      </c>
      <c r="E164" s="46">
        <v>2</v>
      </c>
      <c r="F164" s="46">
        <v>26</v>
      </c>
      <c r="G164" s="1"/>
      <c r="H164" s="1"/>
    </row>
    <row r="165" spans="1:8" ht="15.75" x14ac:dyDescent="0.25">
      <c r="B165" s="27" t="s">
        <v>98</v>
      </c>
      <c r="C165" s="1"/>
      <c r="D165" s="42">
        <f>24.04*D164</f>
        <v>288.48</v>
      </c>
      <c r="E165" s="42">
        <f>19.28*E164</f>
        <v>38.56</v>
      </c>
      <c r="F165" s="42">
        <f>19.28*F164</f>
        <v>501.28000000000003</v>
      </c>
      <c r="G165" s="1"/>
      <c r="H165" s="1"/>
    </row>
    <row r="166" spans="1:8" ht="15.75" x14ac:dyDescent="0.25">
      <c r="B166" s="27" t="s">
        <v>102</v>
      </c>
      <c r="C166" s="1"/>
      <c r="D166" s="42">
        <f>17.92*D164</f>
        <v>215.04000000000002</v>
      </c>
      <c r="E166" s="42">
        <f>13.18*E164</f>
        <v>26.36</v>
      </c>
      <c r="F166" s="42">
        <f>11.59*F164</f>
        <v>301.33999999999997</v>
      </c>
      <c r="G166" s="66" t="s">
        <v>122</v>
      </c>
      <c r="H166" s="1"/>
    </row>
    <row r="167" spans="1:8" ht="15.75" x14ac:dyDescent="0.25">
      <c r="B167" s="27" t="s">
        <v>103</v>
      </c>
      <c r="C167" s="1"/>
      <c r="D167" s="42">
        <f>17.69*D164</f>
        <v>212.28000000000003</v>
      </c>
      <c r="E167" s="42">
        <f>14.35*E164</f>
        <v>28.7</v>
      </c>
      <c r="F167" s="42">
        <f>11.79*F164</f>
        <v>306.53999999999996</v>
      </c>
      <c r="G167" s="1"/>
      <c r="H167" s="1"/>
    </row>
    <row r="168" spans="1:8" ht="15.75" x14ac:dyDescent="0.25">
      <c r="B168" s="27" t="s">
        <v>93</v>
      </c>
      <c r="C168" s="1"/>
      <c r="D168" s="49">
        <f>(D163*D164+E163*E164+F163*F164)*0.001</f>
        <v>51.5</v>
      </c>
      <c r="E168" s="51"/>
      <c r="F168" s="50"/>
      <c r="G168" s="1"/>
      <c r="H168" s="1"/>
    </row>
    <row r="169" spans="1:8" ht="15.75" x14ac:dyDescent="0.25">
      <c r="B169" s="27"/>
      <c r="C169" s="1"/>
      <c r="D169" s="1"/>
      <c r="E169" s="1"/>
      <c r="F169" s="1"/>
      <c r="G169" s="1"/>
      <c r="H169" s="1"/>
    </row>
    <row r="170" spans="1:8" x14ac:dyDescent="0.25">
      <c r="C170" s="1"/>
      <c r="D170" s="1"/>
      <c r="E170" s="1"/>
      <c r="F170" s="1"/>
      <c r="G170" s="1"/>
      <c r="H170" s="1"/>
    </row>
    <row r="171" spans="1:8" ht="18.75" x14ac:dyDescent="0.3">
      <c r="A171" s="26" t="s">
        <v>94</v>
      </c>
      <c r="C171" s="43"/>
      <c r="D171" s="46">
        <v>1700</v>
      </c>
      <c r="E171" s="46">
        <v>1100</v>
      </c>
      <c r="F171" s="1"/>
      <c r="G171" s="1"/>
      <c r="H171" s="1"/>
    </row>
    <row r="172" spans="1:8" ht="15.75" x14ac:dyDescent="0.25">
      <c r="B172" s="27" t="s">
        <v>44</v>
      </c>
      <c r="C172" s="1"/>
      <c r="D172" s="46">
        <v>11</v>
      </c>
      <c r="E172" s="46">
        <v>26</v>
      </c>
      <c r="F172" s="1"/>
      <c r="G172" s="1"/>
      <c r="H172" s="1"/>
    </row>
    <row r="173" spans="1:8" ht="15.75" x14ac:dyDescent="0.25">
      <c r="B173" s="27" t="s">
        <v>98</v>
      </c>
      <c r="C173" s="1"/>
      <c r="D173" s="42">
        <f>34.81*D172</f>
        <v>382.91</v>
      </c>
      <c r="E173" s="42">
        <f>26.11*E172</f>
        <v>678.86</v>
      </c>
      <c r="F173" s="43"/>
      <c r="G173" s="1"/>
      <c r="H173" s="1"/>
    </row>
    <row r="174" spans="1:8" ht="15.75" x14ac:dyDescent="0.25">
      <c r="B174" s="27" t="s">
        <v>102</v>
      </c>
      <c r="C174" s="1"/>
      <c r="D174" s="42">
        <f>31.92*D172</f>
        <v>351.12</v>
      </c>
      <c r="E174" s="42">
        <f>20.66*E172</f>
        <v>537.16</v>
      </c>
      <c r="F174" s="1"/>
      <c r="G174" s="1"/>
      <c r="H174" s="1"/>
    </row>
    <row r="175" spans="1:8" ht="15.75" x14ac:dyDescent="0.25">
      <c r="B175" s="27" t="s">
        <v>103</v>
      </c>
      <c r="C175" s="1"/>
      <c r="D175" s="42">
        <f>27.25*D172</f>
        <v>299.75</v>
      </c>
      <c r="E175" s="42">
        <f>17.63*E172</f>
        <v>458.38</v>
      </c>
      <c r="F175" s="1"/>
      <c r="G175" s="1"/>
      <c r="H175" s="1"/>
    </row>
    <row r="176" spans="1:8" ht="15.75" x14ac:dyDescent="0.25">
      <c r="B176" s="27" t="s">
        <v>93</v>
      </c>
      <c r="C176" s="1"/>
      <c r="D176" s="49">
        <f>(D171*D172+E171*E172)*0.001</f>
        <v>47.300000000000004</v>
      </c>
      <c r="E176" s="50"/>
      <c r="F176" s="1"/>
      <c r="G176" s="1"/>
      <c r="H176" s="1"/>
    </row>
    <row r="177" spans="1:16" ht="15.75" x14ac:dyDescent="0.25">
      <c r="B177" s="27"/>
      <c r="C177" s="1"/>
      <c r="D177" s="1"/>
      <c r="E177" s="1"/>
      <c r="F177" s="1"/>
      <c r="G177" s="1"/>
      <c r="H177" s="1"/>
    </row>
    <row r="178" spans="1:16" x14ac:dyDescent="0.25">
      <c r="C178" s="1"/>
      <c r="D178" s="1"/>
      <c r="E178" s="1"/>
      <c r="F178" s="1"/>
      <c r="G178" s="1"/>
      <c r="H178" s="1"/>
    </row>
    <row r="179" spans="1:16" ht="18.75" x14ac:dyDescent="0.3">
      <c r="A179" s="26" t="s">
        <v>95</v>
      </c>
      <c r="B179" s="27"/>
      <c r="C179" s="43"/>
      <c r="D179" s="1"/>
      <c r="E179" s="1"/>
      <c r="F179" s="1"/>
      <c r="G179" s="1"/>
      <c r="H179" s="1"/>
      <c r="I179" s="26" t="s">
        <v>95</v>
      </c>
      <c r="L179" s="43" t="s">
        <v>106</v>
      </c>
      <c r="M179" s="43" t="s">
        <v>107</v>
      </c>
      <c r="N179" s="43" t="s">
        <v>77</v>
      </c>
      <c r="O179" s="43" t="s">
        <v>82</v>
      </c>
      <c r="P179" s="43" t="s">
        <v>83</v>
      </c>
    </row>
    <row r="180" spans="1:16" ht="15.75" x14ac:dyDescent="0.25">
      <c r="B180" s="27" t="s">
        <v>44</v>
      </c>
      <c r="C180" s="1"/>
      <c r="D180" s="46">
        <v>30</v>
      </c>
      <c r="E180" s="1"/>
      <c r="F180" s="1"/>
      <c r="G180" s="1"/>
      <c r="H180" s="1"/>
      <c r="J180" s="27" t="s">
        <v>98</v>
      </c>
      <c r="L180" s="53">
        <f>D181+D209+D202</f>
        <v>2373.9</v>
      </c>
      <c r="M180" s="2"/>
      <c r="N180" s="60">
        <f>20*84</f>
        <v>1680</v>
      </c>
      <c r="O180" s="53">
        <v>6720</v>
      </c>
      <c r="P180" s="53">
        <f>O180-L180-M180-N180</f>
        <v>2666.1000000000004</v>
      </c>
    </row>
    <row r="181" spans="1:16" ht="15.75" x14ac:dyDescent="0.25">
      <c r="B181" s="27" t="s">
        <v>98</v>
      </c>
      <c r="C181" s="1"/>
      <c r="D181" s="42">
        <f>62.13*30</f>
        <v>1863.9</v>
      </c>
      <c r="E181" s="1"/>
      <c r="F181" s="1"/>
      <c r="G181" s="1"/>
      <c r="H181" s="1"/>
      <c r="J181" s="27" t="s">
        <v>102</v>
      </c>
      <c r="L181" s="59">
        <f>D182+D203+E210</f>
        <v>2371.2000000000003</v>
      </c>
      <c r="M181" s="2"/>
      <c r="N181" s="60">
        <f t="shared" ref="N181:N182" si="4">20*84</f>
        <v>1680</v>
      </c>
      <c r="O181" s="53">
        <v>6720</v>
      </c>
      <c r="P181" s="53">
        <f t="shared" ref="P181:P182" si="5">O181-L181-M181-N181</f>
        <v>2668.7999999999993</v>
      </c>
    </row>
    <row r="182" spans="1:16" ht="15.75" x14ac:dyDescent="0.25">
      <c r="B182" s="27" t="s">
        <v>102</v>
      </c>
      <c r="C182" s="1"/>
      <c r="D182" s="42">
        <f>67.04*D180</f>
        <v>2011.2000000000003</v>
      </c>
      <c r="E182" s="1"/>
      <c r="F182" s="1"/>
      <c r="G182" s="1"/>
      <c r="H182" s="1"/>
      <c r="J182" s="27" t="s">
        <v>103</v>
      </c>
      <c r="L182" s="53">
        <f>D183+D204+F211</f>
        <v>2501.6999999999998</v>
      </c>
      <c r="M182" s="2"/>
      <c r="N182" s="60">
        <f t="shared" si="4"/>
        <v>1680</v>
      </c>
      <c r="O182" s="53">
        <v>6720</v>
      </c>
      <c r="P182" s="53">
        <f t="shared" si="5"/>
        <v>2538.3000000000002</v>
      </c>
    </row>
    <row r="183" spans="1:16" ht="15.75" x14ac:dyDescent="0.25">
      <c r="B183" s="27" t="s">
        <v>103</v>
      </c>
      <c r="C183" s="1"/>
      <c r="D183" s="42">
        <f>57.23*D180</f>
        <v>1716.8999999999999</v>
      </c>
      <c r="E183" s="1"/>
      <c r="F183" s="1"/>
      <c r="G183" s="1"/>
      <c r="H183" s="1"/>
      <c r="J183" s="27"/>
      <c r="L183" s="57"/>
    </row>
    <row r="184" spans="1:16" ht="15.75" x14ac:dyDescent="0.25">
      <c r="B184" s="27"/>
      <c r="C184" s="1"/>
      <c r="D184" s="1"/>
      <c r="E184" s="1"/>
      <c r="F184" s="1"/>
      <c r="G184" s="1"/>
      <c r="H184" s="1"/>
      <c r="J184" s="27"/>
    </row>
    <row r="185" spans="1:16" x14ac:dyDescent="0.25">
      <c r="C185" s="1"/>
      <c r="D185" s="1"/>
      <c r="E185" s="1"/>
      <c r="F185" s="1"/>
      <c r="G185" s="1"/>
      <c r="H185" s="1"/>
    </row>
    <row r="186" spans="1:16" ht="18.75" x14ac:dyDescent="0.3">
      <c r="A186" s="26" t="s">
        <v>96</v>
      </c>
      <c r="B186" s="27"/>
      <c r="C186" s="43"/>
      <c r="D186" s="1"/>
      <c r="E186" s="1"/>
      <c r="F186" s="1"/>
      <c r="G186" s="1"/>
      <c r="H186" s="1"/>
      <c r="I186" s="26" t="s">
        <v>96</v>
      </c>
      <c r="L186" s="43" t="s">
        <v>106</v>
      </c>
      <c r="M186" s="43" t="s">
        <v>107</v>
      </c>
      <c r="N186" s="43" t="s">
        <v>77</v>
      </c>
      <c r="O186" s="43" t="s">
        <v>82</v>
      </c>
      <c r="P186" s="43" t="s">
        <v>83</v>
      </c>
    </row>
    <row r="187" spans="1:16" ht="15.75" x14ac:dyDescent="0.25">
      <c r="B187" s="27" t="s">
        <v>44</v>
      </c>
      <c r="C187" s="1"/>
      <c r="D187" s="46">
        <v>29</v>
      </c>
      <c r="E187" s="1"/>
      <c r="F187" s="1"/>
      <c r="G187" s="1"/>
      <c r="H187" s="1"/>
      <c r="J187" s="27" t="s">
        <v>98</v>
      </c>
      <c r="L187" s="53">
        <f>D188</f>
        <v>1969.68</v>
      </c>
      <c r="M187" s="2"/>
      <c r="N187" s="60">
        <f>14*84</f>
        <v>1176</v>
      </c>
      <c r="O187" s="53">
        <f>6300+2352</f>
        <v>8652</v>
      </c>
      <c r="P187" s="53">
        <f>O187-L187-M187-N187</f>
        <v>5506.32</v>
      </c>
    </row>
    <row r="188" spans="1:16" ht="15.75" x14ac:dyDescent="0.25">
      <c r="B188" s="27" t="s">
        <v>98</v>
      </c>
      <c r="C188" s="1"/>
      <c r="D188" s="42">
        <f>67.92*D187</f>
        <v>1969.68</v>
      </c>
      <c r="E188" s="1"/>
      <c r="F188" s="1"/>
      <c r="G188" s="1"/>
      <c r="H188" s="1"/>
      <c r="J188" s="27" t="s">
        <v>102</v>
      </c>
      <c r="L188" s="53">
        <f>D189</f>
        <v>1462.47</v>
      </c>
      <c r="M188" s="2"/>
      <c r="N188" s="60">
        <f t="shared" ref="N188:N189" si="6">14*84</f>
        <v>1176</v>
      </c>
      <c r="O188" s="53">
        <f t="shared" ref="O188:O189" si="7">6300+2352</f>
        <v>8652</v>
      </c>
      <c r="P188" s="53">
        <f t="shared" ref="P188:P189" si="8">O188-L188-M188-N188</f>
        <v>6013.53</v>
      </c>
    </row>
    <row r="189" spans="1:16" ht="15.75" x14ac:dyDescent="0.25">
      <c r="B189" s="27" t="s">
        <v>102</v>
      </c>
      <c r="C189" s="1"/>
      <c r="D189" s="42">
        <f>50.43*D187</f>
        <v>1462.47</v>
      </c>
      <c r="E189" s="1"/>
      <c r="F189" s="1"/>
      <c r="G189" s="1"/>
      <c r="H189" s="1"/>
      <c r="J189" s="27" t="s">
        <v>103</v>
      </c>
      <c r="L189" s="53">
        <f>D190</f>
        <v>1346.76</v>
      </c>
      <c r="M189" s="2"/>
      <c r="N189" s="60">
        <f t="shared" si="6"/>
        <v>1176</v>
      </c>
      <c r="O189" s="53">
        <f t="shared" si="7"/>
        <v>8652</v>
      </c>
      <c r="P189" s="53">
        <f t="shared" si="8"/>
        <v>6129.24</v>
      </c>
    </row>
    <row r="190" spans="1:16" ht="15.75" x14ac:dyDescent="0.25">
      <c r="B190" s="27" t="s">
        <v>103</v>
      </c>
      <c r="C190" s="1"/>
      <c r="D190" s="42">
        <f>46.44*D187</f>
        <v>1346.76</v>
      </c>
      <c r="E190" s="1"/>
      <c r="F190" s="1"/>
      <c r="G190" s="1"/>
      <c r="H190" s="1"/>
      <c r="J190" s="27"/>
    </row>
    <row r="191" spans="1:16" ht="15.75" x14ac:dyDescent="0.25">
      <c r="B191" s="27"/>
      <c r="C191" s="1"/>
      <c r="D191" s="1"/>
      <c r="E191" s="1"/>
      <c r="F191" s="1"/>
      <c r="G191" s="1"/>
      <c r="H191" s="1"/>
      <c r="J191" s="27"/>
    </row>
    <row r="192" spans="1:16" x14ac:dyDescent="0.25">
      <c r="C192" s="1"/>
      <c r="D192" s="1"/>
      <c r="E192" s="1"/>
      <c r="F192" s="1"/>
      <c r="G192" s="1"/>
      <c r="H192" s="1"/>
    </row>
    <row r="193" spans="1:8" ht="18.75" x14ac:dyDescent="0.3">
      <c r="A193" s="26" t="s">
        <v>97</v>
      </c>
      <c r="C193" s="43"/>
      <c r="D193" s="46">
        <v>2250</v>
      </c>
      <c r="E193" s="46">
        <v>1920</v>
      </c>
      <c r="F193" s="46">
        <v>1700</v>
      </c>
      <c r="G193" s="46">
        <v>1250</v>
      </c>
      <c r="H193" s="46">
        <v>1100</v>
      </c>
    </row>
    <row r="194" spans="1:8" ht="15.75" x14ac:dyDescent="0.25">
      <c r="B194" s="27" t="s">
        <v>44</v>
      </c>
      <c r="C194" s="1"/>
      <c r="D194" s="46">
        <v>6</v>
      </c>
      <c r="E194" s="46">
        <v>74</v>
      </c>
      <c r="F194" s="46">
        <v>12</v>
      </c>
      <c r="G194" s="46">
        <v>2</v>
      </c>
      <c r="H194" s="46">
        <v>26</v>
      </c>
    </row>
    <row r="195" spans="1:8" ht="15.75" x14ac:dyDescent="0.25">
      <c r="B195" s="27" t="s">
        <v>98</v>
      </c>
      <c r="C195" s="1"/>
      <c r="D195" s="42">
        <f>9.1*D194</f>
        <v>54.599999999999994</v>
      </c>
      <c r="E195" s="42">
        <f>7.28*E194</f>
        <v>538.72</v>
      </c>
      <c r="F195" s="42">
        <f>7.28*F194</f>
        <v>87.36</v>
      </c>
      <c r="G195" s="42">
        <f>5.46*G194</f>
        <v>10.92</v>
      </c>
      <c r="H195" s="42">
        <f>5.46*H194</f>
        <v>141.96</v>
      </c>
    </row>
    <row r="196" spans="1:8" ht="15.75" x14ac:dyDescent="0.25">
      <c r="B196" s="27" t="s">
        <v>102</v>
      </c>
      <c r="C196" s="1"/>
      <c r="D196" s="42">
        <f>8.93*D194</f>
        <v>53.58</v>
      </c>
      <c r="E196" s="42">
        <f>7.62*E194</f>
        <v>563.88</v>
      </c>
      <c r="F196" s="42">
        <f>6.75*F194</f>
        <v>81</v>
      </c>
      <c r="G196" s="42">
        <f>4.96*G194</f>
        <v>9.92</v>
      </c>
      <c r="H196" s="42">
        <f>4.36*H194</f>
        <v>113.36000000000001</v>
      </c>
    </row>
    <row r="197" spans="1:8" ht="15.75" x14ac:dyDescent="0.25">
      <c r="B197" s="27" t="s">
        <v>103</v>
      </c>
      <c r="C197" s="1"/>
      <c r="D197" s="42">
        <f>9.3*D194</f>
        <v>55.800000000000004</v>
      </c>
      <c r="E197" s="42">
        <f>8.46*E194</f>
        <v>626.04000000000008</v>
      </c>
      <c r="F197" s="42">
        <f>7.9*F194</f>
        <v>94.800000000000011</v>
      </c>
      <c r="G197" s="42">
        <f>6.74*G194</f>
        <v>13.48</v>
      </c>
      <c r="H197" s="42">
        <f>6.36*H194</f>
        <v>165.36</v>
      </c>
    </row>
    <row r="198" spans="1:8" x14ac:dyDescent="0.25">
      <c r="C198" s="1"/>
      <c r="D198" s="1"/>
      <c r="E198" s="1"/>
      <c r="F198" s="1"/>
      <c r="G198" s="1"/>
      <c r="H198" s="1"/>
    </row>
    <row r="199" spans="1:8" x14ac:dyDescent="0.25">
      <c r="C199" s="1"/>
      <c r="D199" s="1"/>
      <c r="E199" s="1"/>
      <c r="F199" s="1"/>
      <c r="G199" s="1"/>
      <c r="H199" s="1"/>
    </row>
    <row r="200" spans="1:8" ht="18.75" x14ac:dyDescent="0.3">
      <c r="A200" s="26" t="s">
        <v>100</v>
      </c>
      <c r="C200" s="1"/>
      <c r="D200" s="1"/>
      <c r="E200" s="1"/>
      <c r="F200" s="1"/>
      <c r="G200" s="1"/>
      <c r="H200" s="1"/>
    </row>
    <row r="201" spans="1:8" ht="15.75" x14ac:dyDescent="0.25">
      <c r="B201" s="27" t="s">
        <v>44</v>
      </c>
      <c r="C201" s="1"/>
      <c r="D201" s="46">
        <v>30</v>
      </c>
      <c r="E201" s="1"/>
      <c r="F201" s="1"/>
      <c r="G201" s="1"/>
      <c r="H201" s="1"/>
    </row>
    <row r="202" spans="1:8" ht="15.75" x14ac:dyDescent="0.25">
      <c r="B202" s="27" t="s">
        <v>98</v>
      </c>
      <c r="C202" s="1"/>
      <c r="D202" s="42">
        <f>3*D201</f>
        <v>90</v>
      </c>
      <c r="E202" s="1"/>
      <c r="F202" s="1"/>
      <c r="G202" s="1"/>
      <c r="H202" s="1"/>
    </row>
    <row r="203" spans="1:8" ht="15.75" x14ac:dyDescent="0.25">
      <c r="B203" s="27" t="s">
        <v>102</v>
      </c>
      <c r="C203" s="1"/>
      <c r="D203" s="42">
        <f>2*D201</f>
        <v>60</v>
      </c>
      <c r="E203" s="1"/>
      <c r="F203" s="1"/>
      <c r="G203" s="1"/>
      <c r="H203" s="1"/>
    </row>
    <row r="204" spans="1:8" ht="15.75" x14ac:dyDescent="0.25">
      <c r="B204" s="27" t="s">
        <v>103</v>
      </c>
      <c r="C204" s="1"/>
      <c r="D204" s="42">
        <f>3*D201</f>
        <v>90</v>
      </c>
      <c r="E204" s="1"/>
      <c r="F204" s="1"/>
      <c r="G204" s="1"/>
      <c r="H204" s="1"/>
    </row>
    <row r="205" spans="1:8" x14ac:dyDescent="0.25">
      <c r="C205" s="1"/>
      <c r="D205" s="1"/>
      <c r="E205" s="1"/>
      <c r="F205" s="1"/>
      <c r="G205" s="1"/>
      <c r="H205" s="1"/>
    </row>
    <row r="206" spans="1:8" x14ac:dyDescent="0.25">
      <c r="C206" s="1"/>
      <c r="D206" s="1"/>
      <c r="E206" s="1"/>
      <c r="F206" s="1"/>
      <c r="G206" s="1"/>
      <c r="H206" s="1"/>
    </row>
    <row r="207" spans="1:8" ht="18.75" x14ac:dyDescent="0.3">
      <c r="A207" s="26" t="s">
        <v>101</v>
      </c>
      <c r="C207" s="1"/>
      <c r="D207" s="1"/>
      <c r="E207" s="1"/>
      <c r="F207" s="1"/>
      <c r="G207" s="1"/>
      <c r="H207" s="1"/>
    </row>
    <row r="208" spans="1:8" ht="15.75" x14ac:dyDescent="0.25">
      <c r="B208" s="27" t="s">
        <v>44</v>
      </c>
      <c r="C208" s="1"/>
      <c r="D208" s="46">
        <v>90</v>
      </c>
      <c r="E208" s="46">
        <v>120</v>
      </c>
      <c r="F208" s="46">
        <v>30</v>
      </c>
      <c r="G208" s="1"/>
      <c r="H208" s="1"/>
    </row>
    <row r="209" spans="1:18" ht="15.75" x14ac:dyDescent="0.25">
      <c r="B209" s="27" t="s">
        <v>98</v>
      </c>
      <c r="C209" s="1"/>
      <c r="D209" s="42">
        <f>3.5*E208</f>
        <v>420</v>
      </c>
      <c r="E209" s="4"/>
      <c r="F209" s="4"/>
      <c r="G209" s="1"/>
      <c r="H209" s="1"/>
    </row>
    <row r="210" spans="1:18" ht="15.75" x14ac:dyDescent="0.25">
      <c r="B210" s="27" t="s">
        <v>102</v>
      </c>
      <c r="C210" s="1"/>
      <c r="D210" s="4"/>
      <c r="E210" s="42">
        <f>2.5*E208</f>
        <v>300</v>
      </c>
      <c r="F210" s="4"/>
      <c r="G210" s="1"/>
      <c r="H210" s="1"/>
    </row>
    <row r="211" spans="1:18" ht="15.75" x14ac:dyDescent="0.25">
      <c r="B211" s="27" t="s">
        <v>103</v>
      </c>
      <c r="C211" s="1"/>
      <c r="D211" s="4"/>
      <c r="E211" s="4"/>
      <c r="F211" s="42">
        <f>5.79*E208</f>
        <v>694.8</v>
      </c>
      <c r="G211" s="1"/>
      <c r="H211" s="1"/>
    </row>
    <row r="212" spans="1:18" x14ac:dyDescent="0.25">
      <c r="C212" s="1"/>
      <c r="D212" s="1"/>
      <c r="E212" s="1"/>
      <c r="F212" s="1"/>
      <c r="G212" s="1"/>
      <c r="H212" s="1"/>
    </row>
    <row r="213" spans="1:18" x14ac:dyDescent="0.25">
      <c r="C213" s="1"/>
      <c r="D213" s="1"/>
      <c r="E213" s="1"/>
      <c r="F213" s="1"/>
      <c r="G213" s="1"/>
      <c r="H213" s="1"/>
    </row>
    <row r="214" spans="1:18" ht="18.75" x14ac:dyDescent="0.3">
      <c r="A214" s="26" t="s">
        <v>99</v>
      </c>
      <c r="C214" s="1"/>
      <c r="D214" s="1"/>
      <c r="E214" s="1"/>
      <c r="F214" s="1"/>
      <c r="G214" s="1"/>
      <c r="H214" s="1"/>
      <c r="I214" s="26" t="s">
        <v>106</v>
      </c>
      <c r="L214" s="43" t="s">
        <v>106</v>
      </c>
      <c r="M214" s="43" t="s">
        <v>107</v>
      </c>
      <c r="N214" s="43" t="s">
        <v>77</v>
      </c>
      <c r="O214" s="43" t="s">
        <v>82</v>
      </c>
      <c r="P214" s="43" t="s">
        <v>83</v>
      </c>
    </row>
    <row r="215" spans="1:18" ht="15.75" x14ac:dyDescent="0.25">
      <c r="B215" s="27" t="s">
        <v>98</v>
      </c>
      <c r="D215" s="54">
        <f>D157+E157+D173+E173+D181+D188+D195+E195+F195+G195+H195+D202+D209+E209+D165+E165+F165</f>
        <v>8618.9900000000016</v>
      </c>
      <c r="E215" s="55"/>
      <c r="F215" s="55"/>
      <c r="G215" s="55"/>
      <c r="H215" s="56"/>
      <c r="J215" s="27" t="s">
        <v>98</v>
      </c>
      <c r="L215" s="53">
        <f>L156+L180+L187</f>
        <v>8618.99</v>
      </c>
      <c r="M215" s="61">
        <f>M156+M180+M187</f>
        <v>0</v>
      </c>
      <c r="N215" s="53">
        <f>N156+N180+N187</f>
        <v>7976</v>
      </c>
      <c r="O215" s="53">
        <f>O156+O180+O187</f>
        <v>34572</v>
      </c>
      <c r="P215" s="53">
        <f>P156+P180+P187</f>
        <v>17977.010000000002</v>
      </c>
    </row>
    <row r="216" spans="1:18" ht="15.75" x14ac:dyDescent="0.25">
      <c r="B216" s="27" t="s">
        <v>102</v>
      </c>
      <c r="D216" s="54">
        <f>D158+E158+D174+E174+D182+D189+D196+E196+F196+G196+H196+D203+D210+E210+D166+E166+F166+110</f>
        <v>7836.5099999999993</v>
      </c>
      <c r="E216" s="55"/>
      <c r="F216" s="55"/>
      <c r="G216" s="55"/>
      <c r="H216" s="56"/>
      <c r="J216" s="27" t="s">
        <v>102</v>
      </c>
      <c r="L216" s="53">
        <f>L157+L181+L188</f>
        <v>7836.51</v>
      </c>
      <c r="M216" s="61">
        <f>M157+M181+M188</f>
        <v>0</v>
      </c>
      <c r="N216" s="53">
        <f>N157+N181+N188</f>
        <v>7976</v>
      </c>
      <c r="O216" s="53">
        <f>O157+O181+O188</f>
        <v>34572</v>
      </c>
      <c r="P216" s="53">
        <f>P157+P181+P188</f>
        <v>18759.489999999998</v>
      </c>
      <c r="R216" s="63"/>
    </row>
    <row r="217" spans="1:18" ht="15.75" x14ac:dyDescent="0.25">
      <c r="B217" s="27" t="s">
        <v>103</v>
      </c>
      <c r="D217" s="54">
        <f>L158+L182+L189</f>
        <v>7542.0500000000011</v>
      </c>
      <c r="E217" s="55"/>
      <c r="F217" s="55"/>
      <c r="G217" s="55"/>
      <c r="H217" s="56"/>
      <c r="J217" s="27" t="s">
        <v>103</v>
      </c>
      <c r="L217" s="53">
        <f>L158+L182+L189</f>
        <v>7542.0500000000011</v>
      </c>
      <c r="M217" s="61">
        <f>M158+M182+M189</f>
        <v>0</v>
      </c>
      <c r="N217" s="53">
        <f>N158+N182+N189</f>
        <v>7976</v>
      </c>
      <c r="O217" s="53">
        <f>O158+O182+O189</f>
        <v>34572</v>
      </c>
      <c r="P217" s="53">
        <f>P158+P182+P189</f>
        <v>19053.949999999997</v>
      </c>
    </row>
    <row r="220" spans="1:18" ht="26.25" x14ac:dyDescent="0.4">
      <c r="A220" s="25" t="s">
        <v>113</v>
      </c>
      <c r="B220" s="27"/>
    </row>
    <row r="221" spans="1:18" ht="15.75" x14ac:dyDescent="0.25">
      <c r="B221" s="27"/>
    </row>
    <row r="222" spans="1:18" ht="18.75" x14ac:dyDescent="0.3">
      <c r="B222" s="26" t="s">
        <v>115</v>
      </c>
      <c r="C222">
        <v>49</v>
      </c>
      <c r="D222" t="s">
        <v>68</v>
      </c>
      <c r="E222" s="27" t="s">
        <v>125</v>
      </c>
      <c r="F222" s="27" t="s">
        <v>126</v>
      </c>
      <c r="G222" s="27" t="s">
        <v>127</v>
      </c>
      <c r="H222" s="27" t="s">
        <v>123</v>
      </c>
      <c r="I222" s="27" t="s">
        <v>124</v>
      </c>
      <c r="J222" s="27" t="s">
        <v>133</v>
      </c>
    </row>
    <row r="223" spans="1:18" x14ac:dyDescent="0.25">
      <c r="B223" t="s">
        <v>128</v>
      </c>
      <c r="E223" s="32">
        <v>17.79</v>
      </c>
      <c r="F223" s="32">
        <f>17.79*C222</f>
        <v>871.70999999999992</v>
      </c>
      <c r="G223" s="32">
        <f>14*C222</f>
        <v>686</v>
      </c>
      <c r="H223" s="63"/>
      <c r="I223" s="63"/>
      <c r="K223" s="31"/>
    </row>
    <row r="224" spans="1:18" x14ac:dyDescent="0.25">
      <c r="K224" s="31"/>
    </row>
    <row r="225" spans="1:10" ht="18.75" x14ac:dyDescent="0.3">
      <c r="B225" s="26" t="s">
        <v>129</v>
      </c>
      <c r="C225">
        <v>28</v>
      </c>
      <c r="D225" t="s">
        <v>116</v>
      </c>
      <c r="E225" s="27"/>
      <c r="F225" s="27"/>
      <c r="G225" s="27"/>
      <c r="H225" s="27"/>
      <c r="I225" s="27"/>
    </row>
    <row r="226" spans="1:10" x14ac:dyDescent="0.25">
      <c r="B226" t="s">
        <v>128</v>
      </c>
      <c r="E226" s="32">
        <v>10.6</v>
      </c>
      <c r="F226" s="32">
        <f>E226*C225</f>
        <v>296.8</v>
      </c>
      <c r="G226" s="2">
        <v>0</v>
      </c>
      <c r="H226" s="32">
        <v>70</v>
      </c>
      <c r="I226" s="32">
        <f>H226*C222</f>
        <v>3430</v>
      </c>
    </row>
    <row r="228" spans="1:10" ht="18.75" x14ac:dyDescent="0.3">
      <c r="B228" s="26" t="s">
        <v>130</v>
      </c>
      <c r="C228">
        <v>7</v>
      </c>
      <c r="D228" t="s">
        <v>116</v>
      </c>
    </row>
    <row r="229" spans="1:10" x14ac:dyDescent="0.25">
      <c r="B229" t="s">
        <v>128</v>
      </c>
      <c r="E229" s="32">
        <v>89.51</v>
      </c>
      <c r="F229" s="32">
        <f>E229*C228</f>
        <v>626.57000000000005</v>
      </c>
      <c r="G229" s="32">
        <f>14*C228</f>
        <v>98</v>
      </c>
      <c r="H229" s="32">
        <v>140</v>
      </c>
      <c r="I229" s="32">
        <f>C228*H229</f>
        <v>980</v>
      </c>
    </row>
    <row r="231" spans="1:10" ht="18.75" x14ac:dyDescent="0.3">
      <c r="B231" s="26" t="s">
        <v>131</v>
      </c>
    </row>
    <row r="232" spans="1:10" x14ac:dyDescent="0.25">
      <c r="B232" t="s">
        <v>135</v>
      </c>
      <c r="C232" t="s">
        <v>132</v>
      </c>
      <c r="E232" s="68">
        <v>153</v>
      </c>
      <c r="F232" s="68"/>
      <c r="G232" s="68"/>
    </row>
    <row r="234" spans="1:10" ht="18.75" x14ac:dyDescent="0.3">
      <c r="B234" s="26" t="s">
        <v>117</v>
      </c>
      <c r="D234" s="57"/>
      <c r="E234" s="67">
        <f>F223+G223+F226+G226+F229+G229+E232</f>
        <v>2732.08</v>
      </c>
      <c r="F234" s="69"/>
      <c r="G234" s="70"/>
      <c r="H234" s="32">
        <f>H226+H229</f>
        <v>210</v>
      </c>
      <c r="I234" s="32">
        <f>I226+I229</f>
        <v>4410</v>
      </c>
      <c r="J234" s="32">
        <f>I234-E234</f>
        <v>1677.92</v>
      </c>
    </row>
    <row r="236" spans="1:10" ht="23.25" x14ac:dyDescent="0.35">
      <c r="A236" s="62" t="s">
        <v>109</v>
      </c>
      <c r="B236" s="27"/>
    </row>
    <row r="237" spans="1:10" ht="15.75" x14ac:dyDescent="0.25">
      <c r="E237" s="57" t="s">
        <v>111</v>
      </c>
      <c r="F237" s="27" t="s">
        <v>82</v>
      </c>
      <c r="G237" s="27" t="s">
        <v>83</v>
      </c>
    </row>
    <row r="238" spans="1:10" ht="15.75" x14ac:dyDescent="0.25">
      <c r="B238" s="27" t="s">
        <v>108</v>
      </c>
      <c r="E238" s="57"/>
    </row>
    <row r="239" spans="1:10" ht="15.75" x14ac:dyDescent="0.25">
      <c r="C239" t="s">
        <v>98</v>
      </c>
      <c r="E239" s="53">
        <f>I145+666.24</f>
        <v>85276.845069200004</v>
      </c>
      <c r="F239" s="53">
        <v>147960</v>
      </c>
      <c r="G239" s="53">
        <f>F239-E239</f>
        <v>62683.154930799996</v>
      </c>
    </row>
    <row r="240" spans="1:10" ht="15.75" x14ac:dyDescent="0.25">
      <c r="C240" t="s">
        <v>110</v>
      </c>
      <c r="E240" s="53">
        <f>E241+(D106-D107)</f>
        <v>85257.565069200005</v>
      </c>
      <c r="F240" s="53">
        <v>147960</v>
      </c>
      <c r="G240" s="53">
        <f>F240-E240</f>
        <v>62702.434930799995</v>
      </c>
      <c r="I240" s="32">
        <f>G241-G239</f>
        <v>666.24000000000524</v>
      </c>
    </row>
    <row r="241" spans="2:11" ht="15.75" x14ac:dyDescent="0.25">
      <c r="C241" t="s">
        <v>102</v>
      </c>
      <c r="E241" s="53">
        <f>I145</f>
        <v>84610.605069199999</v>
      </c>
      <c r="F241" s="53">
        <v>147960</v>
      </c>
      <c r="G241" s="53">
        <f>F241-E241</f>
        <v>63349.394930800001</v>
      </c>
      <c r="I241" s="31"/>
    </row>
    <row r="242" spans="2:11" ht="15.75" x14ac:dyDescent="0.25">
      <c r="C242" t="s">
        <v>103</v>
      </c>
      <c r="E242" s="27"/>
      <c r="F242" s="27"/>
      <c r="G242" s="27"/>
    </row>
    <row r="243" spans="2:11" ht="15.75" x14ac:dyDescent="0.25">
      <c r="E243" s="27"/>
      <c r="F243" s="27"/>
      <c r="G243" s="27"/>
      <c r="K243" s="32">
        <f>I240+I246</f>
        <v>1743.1800000000003</v>
      </c>
    </row>
    <row r="244" spans="2:11" ht="15.75" x14ac:dyDescent="0.25">
      <c r="B244" s="27" t="s">
        <v>106</v>
      </c>
      <c r="E244" s="27"/>
      <c r="F244" s="27"/>
      <c r="G244" s="27"/>
    </row>
    <row r="245" spans="2:11" ht="15.75" x14ac:dyDescent="0.25">
      <c r="B245" s="27"/>
      <c r="C245" s="64" t="s">
        <v>98</v>
      </c>
      <c r="E245" s="53">
        <f>L215+N215+M215</f>
        <v>16594.989999999998</v>
      </c>
      <c r="F245" s="53">
        <v>34572</v>
      </c>
      <c r="G245" s="53">
        <f>F245-E245</f>
        <v>17977.010000000002</v>
      </c>
    </row>
    <row r="246" spans="2:11" ht="15.75" x14ac:dyDescent="0.25">
      <c r="C246" s="64" t="s">
        <v>102</v>
      </c>
      <c r="E246" s="53">
        <f>L216+N216+M216</f>
        <v>15812.51</v>
      </c>
      <c r="F246" s="53">
        <v>34572</v>
      </c>
      <c r="G246" s="53">
        <f t="shared" ref="G246:G247" si="9">F246-E246</f>
        <v>18759.489999999998</v>
      </c>
      <c r="I246" s="32">
        <f>G247-G245</f>
        <v>1076.9399999999951</v>
      </c>
    </row>
    <row r="247" spans="2:11" ht="15.75" x14ac:dyDescent="0.25">
      <c r="C247" s="64" t="s">
        <v>103</v>
      </c>
      <c r="E247" s="53">
        <f>L217+N217+M217</f>
        <v>15518.050000000001</v>
      </c>
      <c r="F247" s="53">
        <v>34572</v>
      </c>
      <c r="G247" s="53">
        <f t="shared" si="9"/>
        <v>19053.949999999997</v>
      </c>
    </row>
    <row r="248" spans="2:11" ht="15.75" x14ac:dyDescent="0.25">
      <c r="E248" s="27"/>
      <c r="F248" s="27"/>
      <c r="G248" s="27"/>
    </row>
    <row r="249" spans="2:11" ht="15.75" x14ac:dyDescent="0.25">
      <c r="B249" s="27" t="s">
        <v>134</v>
      </c>
      <c r="C249" t="s">
        <v>136</v>
      </c>
      <c r="E249" s="71">
        <v>2732.08</v>
      </c>
      <c r="F249" s="53">
        <v>4410</v>
      </c>
      <c r="G249" s="72">
        <f>F249-E249</f>
        <v>1677.92</v>
      </c>
    </row>
    <row r="252" spans="2:11" ht="15.75" x14ac:dyDescent="0.25">
      <c r="B252" s="27" t="s">
        <v>112</v>
      </c>
      <c r="E252" s="53">
        <f>E241+E247</f>
        <v>100128.6550692</v>
      </c>
      <c r="F252" s="53">
        <f>F239+F246+F249</f>
        <v>186942</v>
      </c>
      <c r="G252" s="53">
        <f>F252-E252</f>
        <v>86813.344930799998</v>
      </c>
      <c r="H252" s="27">
        <f>(F252/E252)</f>
        <v>1.8670179867172125</v>
      </c>
      <c r="I252" s="27" t="s">
        <v>114</v>
      </c>
    </row>
    <row r="259" spans="5:7" x14ac:dyDescent="0.25">
      <c r="E259" t="s">
        <v>137</v>
      </c>
      <c r="G259" t="s">
        <v>138</v>
      </c>
    </row>
  </sheetData>
  <mergeCells count="8">
    <mergeCell ref="E232:G232"/>
    <mergeCell ref="E234:G234"/>
    <mergeCell ref="D215:H215"/>
    <mergeCell ref="D216:H216"/>
    <mergeCell ref="D217:H217"/>
    <mergeCell ref="D176:E176"/>
    <mergeCell ref="D168:F168"/>
    <mergeCell ref="D160:E16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TASSONE SA</dc:creator>
  <cp:lastModifiedBy>TASSONE SA</cp:lastModifiedBy>
  <dcterms:created xsi:type="dcterms:W3CDTF">2026-02-03T07:57:10Z</dcterms:created>
  <dcterms:modified xsi:type="dcterms:W3CDTF">2026-02-18T16:27:57Z</dcterms:modified>
</cp:coreProperties>
</file>